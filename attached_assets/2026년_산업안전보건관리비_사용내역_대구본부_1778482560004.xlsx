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Users\fbwog\OneDrive\Desktop\2026\2026년 산업안전보건관리비 사용내역\"/>
    </mc:Choice>
  </mc:AlternateContent>
  <xr:revisionPtr revIDLastSave="0" documentId="13_ncr:1_{E5AD18A1-F84B-4F84-A659-5CB10DFFF5B0}" xr6:coauthVersionLast="36" xr6:coauthVersionMax="36" xr10:uidLastSave="{00000000-0000-0000-0000-000000000000}"/>
  <bookViews>
    <workbookView xWindow="0" yWindow="0" windowWidth="28800" windowHeight="12540" tabRatio="599" xr2:uid="{00000000-000D-0000-FFFF-FFFF00000000}"/>
  </bookViews>
  <sheets>
    <sheet name="월별현황" sheetId="1" r:id="rId1"/>
    <sheet name="1.~8.항목별 사용 세부내역" sheetId="3" r:id="rId2"/>
    <sheet name="3. 개인보호구 및 용품구매 세부내역" sheetId="2" r:id="rId3"/>
  </sheets>
  <definedNames>
    <definedName name="_xlnm._FilterDatabase" localSheetId="2" hidden="1">'3. 개인보호구 및 용품구매 세부내역'!$A$4:$AC$60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" i="1" l="1"/>
  <c r="F5" i="1"/>
  <c r="E5" i="1"/>
  <c r="G11" i="1"/>
  <c r="G3" i="1"/>
  <c r="G7" i="1"/>
  <c r="D60" i="2"/>
  <c r="D57" i="2"/>
  <c r="C57" i="2"/>
  <c r="D56" i="2"/>
  <c r="C56" i="2"/>
  <c r="D55" i="2"/>
  <c r="C55" i="2"/>
  <c r="D54" i="2"/>
  <c r="C54" i="2"/>
  <c r="D53" i="2"/>
  <c r="C53" i="2"/>
  <c r="D52" i="2"/>
  <c r="C52" i="2"/>
  <c r="D51" i="2"/>
  <c r="C51" i="2"/>
  <c r="D50" i="2"/>
  <c r="C50" i="2"/>
  <c r="D49" i="2"/>
  <c r="C49" i="2"/>
  <c r="D48" i="2"/>
  <c r="C48" i="2"/>
  <c r="D47" i="2"/>
  <c r="C47" i="2"/>
  <c r="D46" i="2"/>
  <c r="C46" i="2"/>
  <c r="D45" i="2"/>
  <c r="C45" i="2"/>
  <c r="D44" i="2"/>
  <c r="C44" i="2"/>
  <c r="D43" i="2"/>
  <c r="C43" i="2"/>
  <c r="D42" i="2"/>
  <c r="C42" i="2"/>
  <c r="D41" i="2"/>
  <c r="C41" i="2"/>
  <c r="D40" i="2"/>
  <c r="C40" i="2"/>
  <c r="D39" i="2"/>
  <c r="C39" i="2"/>
  <c r="D38" i="2"/>
  <c r="C38" i="2"/>
  <c r="D37" i="2"/>
  <c r="C37" i="2"/>
  <c r="D36" i="2"/>
  <c r="C36" i="2"/>
  <c r="D35" i="2"/>
  <c r="C35" i="2"/>
  <c r="D34" i="2"/>
  <c r="C34" i="2"/>
  <c r="D33" i="2"/>
  <c r="C33" i="2"/>
  <c r="D32" i="2"/>
  <c r="C32" i="2"/>
  <c r="D31" i="2"/>
  <c r="C31" i="2"/>
  <c r="D30" i="2"/>
  <c r="C30" i="2"/>
  <c r="D29" i="2"/>
  <c r="C29" i="2"/>
  <c r="D28" i="2"/>
  <c r="C28" i="2"/>
  <c r="D27" i="2"/>
  <c r="C27" i="2"/>
  <c r="D26" i="2"/>
  <c r="C26" i="2"/>
  <c r="D25" i="2"/>
  <c r="C25" i="2"/>
  <c r="D24" i="2"/>
  <c r="D59" i="2" s="1"/>
  <c r="C24" i="2"/>
  <c r="D23" i="2"/>
  <c r="C23" i="2"/>
  <c r="D22" i="2"/>
  <c r="C22" i="2"/>
  <c r="D21" i="2"/>
  <c r="C21" i="2"/>
  <c r="D20" i="2"/>
  <c r="C20" i="2"/>
  <c r="D19" i="2"/>
  <c r="C19" i="2"/>
  <c r="D18" i="2"/>
  <c r="C18" i="2"/>
  <c r="D17" i="2"/>
  <c r="C17" i="2"/>
  <c r="D16" i="2"/>
  <c r="C16" i="2"/>
  <c r="D15" i="2"/>
  <c r="C15" i="2"/>
  <c r="D14" i="2"/>
  <c r="C14" i="2"/>
  <c r="D13" i="2"/>
  <c r="C13" i="2"/>
  <c r="D12" i="2"/>
  <c r="C12" i="2"/>
  <c r="D11" i="2"/>
  <c r="C11" i="2"/>
  <c r="D10" i="2"/>
  <c r="C10" i="2"/>
  <c r="D9" i="2"/>
  <c r="C9" i="2"/>
  <c r="D8" i="2"/>
  <c r="C8" i="2"/>
  <c r="D7" i="2"/>
  <c r="C7" i="2"/>
  <c r="D6" i="2"/>
  <c r="C6" i="2"/>
  <c r="D5" i="2"/>
  <c r="C5" i="2"/>
  <c r="D58" i="2"/>
  <c r="C58" i="2"/>
  <c r="P59" i="2"/>
  <c r="O59" i="2"/>
  <c r="N59" i="2"/>
  <c r="M59" i="2"/>
  <c r="L59" i="2"/>
  <c r="K59" i="2"/>
  <c r="J59" i="2"/>
  <c r="I59" i="2"/>
  <c r="H59" i="2" l="1"/>
  <c r="G59" i="2"/>
  <c r="F59" i="2"/>
  <c r="E59" i="2"/>
  <c r="D64" i="2"/>
  <c r="C19" i="3"/>
  <c r="C18" i="3"/>
  <c r="C17" i="3"/>
  <c r="C16" i="3"/>
  <c r="C15" i="3"/>
  <c r="C14" i="3"/>
  <c r="C13" i="3"/>
  <c r="C12" i="3"/>
  <c r="C11" i="3"/>
  <c r="C10" i="3"/>
  <c r="C9" i="3"/>
  <c r="C8" i="3"/>
  <c r="C7" i="3"/>
  <c r="C6" i="3"/>
  <c r="C5" i="3"/>
  <c r="C4" i="3"/>
  <c r="O12" i="1"/>
  <c r="N12" i="1"/>
  <c r="M12" i="1"/>
  <c r="L12" i="1"/>
  <c r="K12" i="1"/>
  <c r="J12" i="1"/>
  <c r="I12" i="1"/>
  <c r="H12" i="1"/>
  <c r="G12" i="1"/>
  <c r="C11" i="1"/>
  <c r="C10" i="1"/>
  <c r="C9" i="1"/>
  <c r="C8" i="1"/>
  <c r="F7" i="1"/>
  <c r="C7" i="1" s="1"/>
  <c r="C6" i="1"/>
  <c r="C5" i="1"/>
  <c r="C4" i="1"/>
  <c r="F3" i="1"/>
  <c r="F12" i="1" s="1"/>
  <c r="E3" i="1"/>
  <c r="E12" i="1" s="1"/>
  <c r="D3" i="1"/>
  <c r="C3" i="1" s="1"/>
  <c r="C12" i="1" l="1"/>
  <c r="D12" i="1"/>
</calcChain>
</file>

<file path=xl/sharedStrings.xml><?xml version="1.0" encoding="utf-8"?>
<sst xmlns="http://schemas.openxmlformats.org/spreadsheetml/2006/main" count="192" uniqueCount="155">
  <si>
    <t>본부</t>
    <phoneticPr fontId="4" type="noConversion"/>
  </si>
  <si>
    <t>항목</t>
    <phoneticPr fontId="4" type="noConversion"/>
  </si>
  <si>
    <t>합계</t>
    <phoneticPr fontId="4" type="noConversion"/>
  </si>
  <si>
    <t>1월</t>
    <phoneticPr fontId="4" type="noConversion"/>
  </si>
  <si>
    <t>2월</t>
  </si>
  <si>
    <t>3월</t>
  </si>
  <si>
    <t>4월</t>
  </si>
  <si>
    <t>5월</t>
  </si>
  <si>
    <t>6월</t>
  </si>
  <si>
    <t>7월</t>
  </si>
  <si>
    <t>8월</t>
  </si>
  <si>
    <t>9월</t>
  </si>
  <si>
    <t>10월</t>
  </si>
  <si>
    <t>11월</t>
  </si>
  <si>
    <t>12월</t>
  </si>
  <si>
    <t>구분</t>
    <phoneticPr fontId="4" type="noConversion"/>
  </si>
  <si>
    <t>비고</t>
    <phoneticPr fontId="4" type="noConversion"/>
  </si>
  <si>
    <t>구매수량</t>
    <phoneticPr fontId="4" type="noConversion"/>
  </si>
  <si>
    <t>수량</t>
    <phoneticPr fontId="4" type="noConversion"/>
  </si>
  <si>
    <t>비용</t>
    <phoneticPr fontId="4" type="noConversion"/>
  </si>
  <si>
    <t>안전모</t>
    <phoneticPr fontId="4" type="noConversion"/>
  </si>
  <si>
    <t>일반안전화</t>
    <phoneticPr fontId="4" type="noConversion"/>
  </si>
  <si>
    <t>1월</t>
    <phoneticPr fontId="2" type="noConversion"/>
  </si>
  <si>
    <t>1. 안전관리자 등 인건비 및 
   각종 업무수당 등</t>
    <phoneticPr fontId="4" type="noConversion"/>
  </si>
  <si>
    <t>2. 안전시설비 등</t>
    <phoneticPr fontId="4" type="noConversion"/>
  </si>
  <si>
    <t>3. 개인보호구 및 안전장구 구입비 등</t>
    <phoneticPr fontId="4" type="noConversion"/>
  </si>
  <si>
    <t>4. 안전진단비 등</t>
    <phoneticPr fontId="4" type="noConversion"/>
  </si>
  <si>
    <t>5. 안전보건교육비 및 행사비 등</t>
    <phoneticPr fontId="4" type="noConversion"/>
  </si>
  <si>
    <t>6. 근로자 건강관리비 등</t>
    <phoneticPr fontId="4" type="noConversion"/>
  </si>
  <si>
    <t>7. 건설재해예방 기술지도비</t>
    <phoneticPr fontId="2" type="noConversion"/>
  </si>
  <si>
    <t>8. 본사사용비</t>
    <phoneticPr fontId="4" type="noConversion"/>
  </si>
  <si>
    <t>세부항목</t>
    <phoneticPr fontId="4" type="noConversion"/>
  </si>
  <si>
    <t>지급일자</t>
    <phoneticPr fontId="2" type="noConversion"/>
  </si>
  <si>
    <t>지급금액</t>
    <phoneticPr fontId="4" type="noConversion"/>
  </si>
  <si>
    <t>3월</t>
    <phoneticPr fontId="2" type="noConversion"/>
  </si>
  <si>
    <t>4월</t>
    <phoneticPr fontId="2" type="noConversion"/>
  </si>
  <si>
    <t>5월</t>
    <phoneticPr fontId="2" type="noConversion"/>
  </si>
  <si>
    <t>2월</t>
    <phoneticPr fontId="2" type="noConversion"/>
  </si>
  <si>
    <t>6월</t>
    <phoneticPr fontId="2" type="noConversion"/>
  </si>
  <si>
    <t>7월</t>
    <phoneticPr fontId="2" type="noConversion"/>
  </si>
  <si>
    <t>8월</t>
    <phoneticPr fontId="2" type="noConversion"/>
  </si>
  <si>
    <t>9월</t>
    <phoneticPr fontId="2" type="noConversion"/>
  </si>
  <si>
    <t>10월</t>
    <phoneticPr fontId="2" type="noConversion"/>
  </si>
  <si>
    <t>11월</t>
    <phoneticPr fontId="2" type="noConversion"/>
  </si>
  <si>
    <t>12월</t>
    <phoneticPr fontId="2" type="noConversion"/>
  </si>
  <si>
    <t>지급금액</t>
    <phoneticPr fontId="4" type="noConversion"/>
  </si>
  <si>
    <t>지급일자</t>
    <phoneticPr fontId="2" type="noConversion"/>
  </si>
  <si>
    <t>지급일자</t>
    <phoneticPr fontId="2" type="noConversion"/>
  </si>
  <si>
    <t>지급일자</t>
    <phoneticPr fontId="2" type="noConversion"/>
  </si>
  <si>
    <t>지급금액</t>
    <phoneticPr fontId="4" type="noConversion"/>
  </si>
  <si>
    <t>지급금액</t>
    <phoneticPr fontId="4" type="noConversion"/>
  </si>
  <si>
    <t>안전보건관리책임자</t>
    <phoneticPr fontId="2" type="noConversion"/>
  </si>
  <si>
    <t>관리감독자(VAT포함)</t>
    <phoneticPr fontId="2" type="noConversion"/>
  </si>
  <si>
    <t>근로자(VAT포함)</t>
    <phoneticPr fontId="2" type="noConversion"/>
  </si>
  <si>
    <t>개인 건강검진(VAT포함)</t>
    <phoneticPr fontId="2" type="noConversion"/>
  </si>
  <si>
    <t>합계</t>
    <phoneticPr fontId="2" type="noConversion"/>
  </si>
  <si>
    <t>■ 월별 사용내역</t>
    <phoneticPr fontId="2" type="noConversion"/>
  </si>
  <si>
    <t>■ 항목별 사용세부내역_지급일자 기준(지출결의서 기준 지급일자)</t>
    <phoneticPr fontId="4" type="noConversion"/>
  </si>
  <si>
    <t>보건관리자 대행료(VAT포함)</t>
    <phoneticPr fontId="2" type="noConversion"/>
  </si>
  <si>
    <t>작업환경 측정(VAT포함)</t>
    <phoneticPr fontId="2" type="noConversion"/>
  </si>
  <si>
    <t>합계</t>
    <phoneticPr fontId="4" type="noConversion"/>
  </si>
  <si>
    <t>안전관리자 대행료(VAT제외)</t>
    <phoneticPr fontId="2" type="noConversion"/>
  </si>
  <si>
    <t>SH등급 평가 갱신(VAT제외)</t>
    <phoneticPr fontId="2" type="noConversion"/>
  </si>
  <si>
    <t>ISO45001 사후심사(VAT제외)</t>
    <phoneticPr fontId="2" type="noConversion"/>
  </si>
  <si>
    <t>구분</t>
    <phoneticPr fontId="4" type="noConversion"/>
  </si>
  <si>
    <t>합계</t>
    <phoneticPr fontId="4" type="noConversion"/>
  </si>
  <si>
    <t>비고</t>
    <phoneticPr fontId="4" type="noConversion"/>
  </si>
  <si>
    <r>
      <t>비용(</t>
    </r>
    <r>
      <rPr>
        <b/>
        <sz val="11"/>
        <color rgb="FFFF0000"/>
        <rFont val="맑은 고딕"/>
        <family val="3"/>
        <charset val="129"/>
      </rPr>
      <t>vat제외</t>
    </r>
    <r>
      <rPr>
        <b/>
        <sz val="11"/>
        <color theme="1"/>
        <rFont val="맑은 고딕"/>
        <family val="3"/>
        <charset val="129"/>
      </rPr>
      <t>)</t>
    </r>
    <phoneticPr fontId="4" type="noConversion"/>
  </si>
  <si>
    <t>보호구</t>
    <phoneticPr fontId="4" type="noConversion"/>
  </si>
  <si>
    <t>실내안전화</t>
    <phoneticPr fontId="4" type="noConversion"/>
  </si>
  <si>
    <t>안전장화</t>
    <phoneticPr fontId="4" type="noConversion"/>
  </si>
  <si>
    <t>안전용품</t>
    <phoneticPr fontId="4" type="noConversion"/>
  </si>
  <si>
    <t>검전기</t>
    <phoneticPr fontId="4" type="noConversion"/>
  </si>
  <si>
    <t>쿨토시</t>
  </si>
  <si>
    <t>벌퇴치 스프레이</t>
    <phoneticPr fontId="4" type="noConversion"/>
  </si>
  <si>
    <t>차량용소화기</t>
    <phoneticPr fontId="4" type="noConversion"/>
  </si>
  <si>
    <t>생수</t>
    <phoneticPr fontId="4" type="noConversion"/>
  </si>
  <si>
    <t>기타</t>
    <phoneticPr fontId="4" type="noConversion"/>
  </si>
  <si>
    <t>부가세 별도 합계</t>
    <phoneticPr fontId="4" type="noConversion"/>
  </si>
  <si>
    <t>검증</t>
    <phoneticPr fontId="2" type="noConversion"/>
  </si>
  <si>
    <t>법정필수교육</t>
    <phoneticPr fontId="2" type="noConversion"/>
  </si>
  <si>
    <t>방수장갑</t>
    <phoneticPr fontId="4" type="noConversion"/>
  </si>
  <si>
    <t>관리감독자 집체교육</t>
    <phoneticPr fontId="2" type="noConversion"/>
  </si>
  <si>
    <t>등산스틱</t>
    <phoneticPr fontId="4" type="noConversion"/>
  </si>
  <si>
    <t>9. 위험성평가 및 산보위 안건 비용</t>
    <phoneticPr fontId="4" type="noConversion"/>
  </si>
  <si>
    <t>대구본부</t>
    <phoneticPr fontId="4" type="noConversion"/>
  </si>
  <si>
    <t>스타리아 보조미러</t>
    <phoneticPr fontId="4" type="noConversion"/>
  </si>
  <si>
    <t>헤어밴드</t>
    <phoneticPr fontId="2" type="noConversion"/>
  </si>
  <si>
    <t>식염포도당</t>
    <phoneticPr fontId="4" type="noConversion"/>
  </si>
  <si>
    <t>노트북 거치대</t>
    <phoneticPr fontId="2" type="noConversion"/>
  </si>
  <si>
    <t>스티커 제작</t>
    <phoneticPr fontId="4" type="noConversion"/>
  </si>
  <si>
    <t>상반기 예산</t>
    <phoneticPr fontId="2" type="noConversion"/>
  </si>
  <si>
    <t>핫팩</t>
    <phoneticPr fontId="4" type="noConversion"/>
  </si>
  <si>
    <t>넥워머</t>
    <phoneticPr fontId="4" type="noConversion"/>
  </si>
  <si>
    <t>공구파우치(휴대폰)</t>
    <phoneticPr fontId="2" type="noConversion"/>
  </si>
  <si>
    <t>안전화 건조기</t>
    <phoneticPr fontId="2" type="noConversion"/>
  </si>
  <si>
    <t>손목받침대 세트</t>
    <phoneticPr fontId="2" type="noConversion"/>
  </si>
  <si>
    <t>방진마스크</t>
    <phoneticPr fontId="4" type="noConversion"/>
  </si>
  <si>
    <t>통풍형 안전모</t>
    <phoneticPr fontId="4" type="noConversion"/>
  </si>
  <si>
    <t>활선경보기</t>
    <phoneticPr fontId="2" type="noConversion"/>
  </si>
  <si>
    <t>잔여예산</t>
    <phoneticPr fontId="2" type="noConversion"/>
  </si>
  <si>
    <t>안전모 턱끈</t>
    <phoneticPr fontId="2" type="noConversion"/>
  </si>
  <si>
    <t>안전모 내피</t>
    <phoneticPr fontId="4" type="noConversion"/>
  </si>
  <si>
    <t>쿨링마스크</t>
    <phoneticPr fontId="2" type="noConversion"/>
  </si>
  <si>
    <t>살충제</t>
    <phoneticPr fontId="4" type="noConversion"/>
  </si>
  <si>
    <t>안전모 햇빛가리개</t>
    <phoneticPr fontId="2" type="noConversion"/>
  </si>
  <si>
    <t>입회용 안전모</t>
    <phoneticPr fontId="4" type="noConversion"/>
  </si>
  <si>
    <t>신호수용 안전모</t>
    <phoneticPr fontId="4" type="noConversion"/>
  </si>
  <si>
    <t>냉동고</t>
    <phoneticPr fontId="4" type="noConversion"/>
  </si>
  <si>
    <t>모스밤</t>
    <phoneticPr fontId="2" type="noConversion"/>
  </si>
  <si>
    <t>모기기피제</t>
    <phoneticPr fontId="4" type="noConversion"/>
  </si>
  <si>
    <t xml:space="preserve">방독마스크 </t>
    <phoneticPr fontId="4" type="noConversion"/>
  </si>
  <si>
    <t>방독필터</t>
    <phoneticPr fontId="4" type="noConversion"/>
  </si>
  <si>
    <t>보안경</t>
    <phoneticPr fontId="4" type="noConversion"/>
  </si>
  <si>
    <t>전동흡착기</t>
    <phoneticPr fontId="2" type="noConversion"/>
  </si>
  <si>
    <t>하반기 예산</t>
    <phoneticPr fontId="2" type="noConversion"/>
  </si>
  <si>
    <t>방한마스크</t>
    <phoneticPr fontId="4" type="noConversion"/>
  </si>
  <si>
    <t>안전화(4인치)</t>
    <phoneticPr fontId="4" type="noConversion"/>
  </si>
  <si>
    <t>안전장갑</t>
    <phoneticPr fontId="2" type="noConversion"/>
  </si>
  <si>
    <t>수동구조용 삼각대</t>
    <phoneticPr fontId="4" type="noConversion"/>
  </si>
  <si>
    <t>안전블록</t>
    <phoneticPr fontId="4" type="noConversion"/>
  </si>
  <si>
    <t>위험물보관함</t>
    <phoneticPr fontId="4" type="noConversion"/>
  </si>
  <si>
    <t>배풍기</t>
    <phoneticPr fontId="4" type="noConversion"/>
  </si>
  <si>
    <t>각반</t>
    <phoneticPr fontId="4" type="noConversion"/>
  </si>
  <si>
    <t>산소공급기</t>
    <phoneticPr fontId="4" type="noConversion"/>
  </si>
  <si>
    <t>보안경(안경)</t>
    <phoneticPr fontId="2" type="noConversion"/>
  </si>
  <si>
    <t>검전기(최신)</t>
    <phoneticPr fontId="4" type="noConversion"/>
  </si>
  <si>
    <t>안전조끼(형광)</t>
    <phoneticPr fontId="2" type="noConversion"/>
  </si>
  <si>
    <t>□ 2026년 보호구 및 안전용품 구매내역(대구본부)</t>
    <phoneticPr fontId="4" type="noConversion"/>
  </si>
  <si>
    <t>작업표지판 제작</t>
    <phoneticPr fontId="4" type="noConversion"/>
  </si>
  <si>
    <t>작업표지판 제작 구매</t>
    <phoneticPr fontId="2" type="noConversion"/>
  </si>
  <si>
    <t>2025-03-16(월)</t>
    <phoneticPr fontId="2" type="noConversion"/>
  </si>
  <si>
    <t>고임목(소형)</t>
    <phoneticPr fontId="4" type="noConversion"/>
  </si>
  <si>
    <t>고임목(중형)</t>
    <phoneticPr fontId="2" type="noConversion"/>
  </si>
  <si>
    <t>고임목 파손 구매</t>
    <phoneticPr fontId="2" type="noConversion"/>
  </si>
  <si>
    <t>3월</t>
    <phoneticPr fontId="2" type="noConversion"/>
  </si>
  <si>
    <t>2025-02-24(화)</t>
    <phoneticPr fontId="2" type="noConversion"/>
  </si>
  <si>
    <t>26.01.23</t>
    <phoneticPr fontId="2" type="noConversion"/>
  </si>
  <si>
    <t>26.02.10</t>
    <phoneticPr fontId="2" type="noConversion"/>
  </si>
  <si>
    <t>26.03.10</t>
    <phoneticPr fontId="2" type="noConversion"/>
  </si>
  <si>
    <t>26.01.09</t>
    <phoneticPr fontId="2" type="noConversion"/>
  </si>
  <si>
    <t>26.03.16</t>
    <phoneticPr fontId="2" type="noConversion"/>
  </si>
  <si>
    <t>안전관리 포상(재량보상)</t>
    <phoneticPr fontId="2" type="noConversion"/>
  </si>
  <si>
    <t>2025-03-31(화)</t>
    <phoneticPr fontId="2" type="noConversion"/>
  </si>
  <si>
    <t>안전화, 활선경보기 구매
(인사발령인원)</t>
    <phoneticPr fontId="2" type="noConversion"/>
  </si>
  <si>
    <t>2025-04-13(월)</t>
    <phoneticPr fontId="2" type="noConversion"/>
  </si>
  <si>
    <t>2025-04-14(화)</t>
    <phoneticPr fontId="2" type="noConversion"/>
  </si>
  <si>
    <t>2025-04-21(화)</t>
    <phoneticPr fontId="2" type="noConversion"/>
  </si>
  <si>
    <t>핸드폰 거치대</t>
    <phoneticPr fontId="2" type="noConversion"/>
  </si>
  <si>
    <t>포스코 6인치 안전화 구매</t>
    <phoneticPr fontId="2" type="noConversion"/>
  </si>
  <si>
    <t>벌퇴치스프레이 구매</t>
    <phoneticPr fontId="2" type="noConversion"/>
  </si>
  <si>
    <t>1분기 위원회 의결사항
(핸드폰거치대)</t>
    <phoneticPr fontId="2" type="noConversion"/>
  </si>
  <si>
    <t>4월</t>
    <phoneticPr fontId="2" type="noConversion"/>
  </si>
  <si>
    <t>26.04.10</t>
    <phoneticPr fontId="2" type="noConversion"/>
  </si>
  <si>
    <t>26.04.30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</si>
</sst>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_-* #,##0_-;\-* #,##0_-;_-* &quot;-&quot;??_-;_-@_-"/>
  </numFmts>
  <fonts count="1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0"/>
      <color theme="1"/>
      <name val="맑은 고딕"/>
      <family val="3"/>
      <charset val="129"/>
    </font>
    <font>
      <sz val="8"/>
      <name val="맑은 고딕"/>
      <family val="2"/>
      <charset val="129"/>
    </font>
    <font>
      <b/>
      <sz val="11"/>
      <color theme="1"/>
      <name val="맑은 고딕"/>
      <family val="3"/>
      <charset val="129"/>
    </font>
    <font>
      <sz val="11"/>
      <color theme="1"/>
      <name val="맑은 고딕"/>
      <family val="3"/>
      <charset val="129"/>
    </font>
    <font>
      <b/>
      <sz val="11"/>
      <color rgb="FFFF0000"/>
      <name val="맑은 고딕"/>
      <family val="3"/>
      <charset val="129"/>
    </font>
    <font>
      <b/>
      <sz val="16"/>
      <color theme="1"/>
      <name val="맑은 고딕"/>
      <family val="3"/>
      <charset val="129"/>
    </font>
    <font>
      <b/>
      <sz val="16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18">
    <xf numFmtId="0" fontId="0" fillId="0" borderId="0" xfId="0">
      <alignment vertical="center"/>
    </xf>
    <xf numFmtId="0" fontId="3" fillId="2" borderId="1" xfId="0" applyFont="1" applyFill="1" applyBorder="1" applyAlignment="1">
      <alignment horizontal="center" vertical="center"/>
    </xf>
    <xf numFmtId="41" fontId="3" fillId="2" borderId="1" xfId="1" applyFont="1" applyFill="1" applyBorder="1" applyAlignment="1">
      <alignment horizontal="center" vertical="center"/>
    </xf>
    <xf numFmtId="41" fontId="0" fillId="0" borderId="0" xfId="1" applyFont="1">
      <alignment vertical="center"/>
    </xf>
    <xf numFmtId="0" fontId="0" fillId="0" borderId="2" xfId="0" applyBorder="1">
      <alignment vertical="center"/>
    </xf>
    <xf numFmtId="41" fontId="3" fillId="0" borderId="2" xfId="0" applyNumberFormat="1" applyFont="1" applyBorder="1">
      <alignment vertical="center"/>
    </xf>
    <xf numFmtId="41" fontId="0" fillId="0" borderId="2" xfId="1" applyFont="1" applyBorder="1">
      <alignment vertical="center"/>
    </xf>
    <xf numFmtId="0" fontId="0" fillId="0" borderId="3" xfId="0" applyBorder="1">
      <alignment vertical="center"/>
    </xf>
    <xf numFmtId="41" fontId="3" fillId="0" borderId="3" xfId="0" applyNumberFormat="1" applyFont="1" applyBorder="1">
      <alignment vertical="center"/>
    </xf>
    <xf numFmtId="41" fontId="0" fillId="0" borderId="3" xfId="1" applyFont="1" applyBorder="1">
      <alignment vertical="center"/>
    </xf>
    <xf numFmtId="0" fontId="0" fillId="0" borderId="4" xfId="0" applyBorder="1">
      <alignment vertical="center"/>
    </xf>
    <xf numFmtId="41" fontId="3" fillId="0" borderId="4" xfId="0" applyNumberFormat="1" applyFont="1" applyBorder="1">
      <alignment vertical="center"/>
    </xf>
    <xf numFmtId="41" fontId="0" fillId="0" borderId="4" xfId="1" applyFont="1" applyBorder="1">
      <alignment vertical="center"/>
    </xf>
    <xf numFmtId="0" fontId="6" fillId="0" borderId="0" xfId="0" applyFont="1">
      <alignment vertical="center"/>
    </xf>
    <xf numFmtId="0" fontId="6" fillId="0" borderId="1" xfId="0" applyFont="1" applyFill="1" applyBorder="1" applyAlignment="1">
      <alignment horizontal="center" vertical="center"/>
    </xf>
    <xf numFmtId="41" fontId="5" fillId="3" borderId="1" xfId="0" applyNumberFormat="1" applyFont="1" applyFill="1" applyBorder="1" applyAlignment="1">
      <alignment horizontal="center" vertical="center"/>
    </xf>
    <xf numFmtId="41" fontId="6" fillId="0" borderId="1" xfId="0" applyNumberFormat="1" applyFont="1" applyFill="1" applyBorder="1" applyAlignment="1">
      <alignment horizontal="center" vertical="center"/>
    </xf>
    <xf numFmtId="0" fontId="8" fillId="0" borderId="0" xfId="0" applyFont="1">
      <alignment vertical="center"/>
    </xf>
    <xf numFmtId="0" fontId="0" fillId="0" borderId="2" xfId="0" applyBorder="1" applyAlignment="1">
      <alignment vertical="center" wrapText="1"/>
    </xf>
    <xf numFmtId="0" fontId="0" fillId="0" borderId="14" xfId="0" applyBorder="1">
      <alignment vertical="center"/>
    </xf>
    <xf numFmtId="41" fontId="0" fillId="0" borderId="14" xfId="1" applyFont="1" applyBorder="1">
      <alignment vertical="center"/>
    </xf>
    <xf numFmtId="0" fontId="9" fillId="0" borderId="0" xfId="0" applyFont="1">
      <alignment vertical="center"/>
    </xf>
    <xf numFmtId="0" fontId="0" fillId="0" borderId="1" xfId="0" applyBorder="1">
      <alignment vertical="center"/>
    </xf>
    <xf numFmtId="0" fontId="0" fillId="0" borderId="1" xfId="0" applyBorder="1" applyAlignment="1">
      <alignment horizontal="left" vertical="center"/>
    </xf>
    <xf numFmtId="0" fontId="5" fillId="2" borderId="15" xfId="0" applyFont="1" applyFill="1" applyBorder="1" applyAlignment="1">
      <alignment horizontal="center" vertical="center"/>
    </xf>
    <xf numFmtId="0" fontId="5" fillId="2" borderId="16" xfId="0" applyFont="1" applyFill="1" applyBorder="1" applyAlignment="1">
      <alignment horizontal="center" vertical="center"/>
    </xf>
    <xf numFmtId="0" fontId="0" fillId="0" borderId="0" xfId="0" applyNumberFormat="1">
      <alignment vertical="center"/>
    </xf>
    <xf numFmtId="0" fontId="0" fillId="0" borderId="4" xfId="0" applyFill="1" applyBorder="1">
      <alignment vertical="center"/>
    </xf>
    <xf numFmtId="41" fontId="10" fillId="2" borderId="1" xfId="0" applyNumberFormat="1" applyFont="1" applyFill="1" applyBorder="1">
      <alignment vertical="center"/>
    </xf>
    <xf numFmtId="41" fontId="0" fillId="0" borderId="1" xfId="0" applyNumberFormat="1" applyBorder="1">
      <alignment vertical="center"/>
    </xf>
    <xf numFmtId="41" fontId="10" fillId="2" borderId="1" xfId="1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2" borderId="7" xfId="0" applyFont="1" applyFill="1" applyBorder="1" applyAlignment="1">
      <alignment horizontal="center" vertical="center"/>
    </xf>
    <xf numFmtId="0" fontId="0" fillId="0" borderId="0" xfId="0" applyBorder="1">
      <alignment vertical="center"/>
    </xf>
    <xf numFmtId="41" fontId="5" fillId="4" borderId="7" xfId="0" applyNumberFormat="1" applyFont="1" applyFill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0" fillId="0" borderId="8" xfId="0" applyBorder="1">
      <alignment vertical="center"/>
    </xf>
    <xf numFmtId="0" fontId="3" fillId="5" borderId="1" xfId="0" applyFont="1" applyFill="1" applyBorder="1">
      <alignment vertical="center"/>
    </xf>
    <xf numFmtId="41" fontId="0" fillId="5" borderId="1" xfId="0" applyNumberFormat="1" applyFill="1" applyBorder="1">
      <alignment vertical="center"/>
    </xf>
    <xf numFmtId="0" fontId="0" fillId="5" borderId="8" xfId="0" applyFill="1" applyBorder="1">
      <alignment vertical="center"/>
    </xf>
    <xf numFmtId="41" fontId="11" fillId="5" borderId="1" xfId="0" applyNumberFormat="1" applyFont="1" applyFill="1" applyBorder="1">
      <alignment vertical="center"/>
    </xf>
    <xf numFmtId="43" fontId="0" fillId="0" borderId="0" xfId="0" applyNumberFormat="1">
      <alignment vertical="center"/>
    </xf>
    <xf numFmtId="0" fontId="6" fillId="0" borderId="0" xfId="0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10" xfId="0" applyBorder="1">
      <alignment vertical="center"/>
    </xf>
    <xf numFmtId="0" fontId="0" fillId="0" borderId="18" xfId="0" applyBorder="1">
      <alignment vertical="center"/>
    </xf>
    <xf numFmtId="0" fontId="0" fillId="0" borderId="19" xfId="0" applyBorder="1">
      <alignment vertical="center"/>
    </xf>
    <xf numFmtId="3" fontId="0" fillId="0" borderId="0" xfId="0" applyNumberFormat="1">
      <alignment vertical="center"/>
    </xf>
    <xf numFmtId="0" fontId="0" fillId="0" borderId="1" xfId="0" applyFill="1" applyBorder="1">
      <alignment vertical="center"/>
    </xf>
    <xf numFmtId="177" fontId="10" fillId="0" borderId="1" xfId="0" applyNumberFormat="1" applyFont="1" applyFill="1" applyBorder="1">
      <alignment vertical="center"/>
    </xf>
    <xf numFmtId="41" fontId="0" fillId="0" borderId="10" xfId="1" applyFont="1" applyBorder="1">
      <alignment vertical="center"/>
    </xf>
    <xf numFmtId="0" fontId="0" fillId="5" borderId="4" xfId="0" applyFill="1" applyBorder="1">
      <alignment vertical="center"/>
    </xf>
    <xf numFmtId="41" fontId="0" fillId="0" borderId="0" xfId="0" applyNumberFormat="1">
      <alignment vertical="center"/>
    </xf>
    <xf numFmtId="41" fontId="10" fillId="0" borderId="1" xfId="1" applyFont="1" applyBorder="1">
      <alignment vertical="center"/>
    </xf>
    <xf numFmtId="41" fontId="12" fillId="0" borderId="1" xfId="1" applyFont="1" applyBorder="1">
      <alignment vertical="center"/>
    </xf>
    <xf numFmtId="0" fontId="0" fillId="0" borderId="1" xfId="1" applyNumberFormat="1" applyFont="1" applyBorder="1" applyAlignment="1">
      <alignment horizontal="center" vertical="center"/>
    </xf>
    <xf numFmtId="0" fontId="12" fillId="0" borderId="1" xfId="1" applyNumberFormat="1" applyFont="1" applyBorder="1" applyAlignment="1">
      <alignment horizontal="center" vertical="center"/>
    </xf>
    <xf numFmtId="0" fontId="0" fillId="0" borderId="1" xfId="1" applyNumberFormat="1" applyFont="1" applyBorder="1" applyAlignment="1">
      <alignment horizontal="center" vertical="center" wrapText="1"/>
    </xf>
    <xf numFmtId="41" fontId="5" fillId="0" borderId="0" xfId="0" applyNumberFormat="1" applyFont="1" applyFill="1" applyBorder="1" applyAlignment="1">
      <alignment horizontal="center" vertical="center"/>
    </xf>
    <xf numFmtId="176" fontId="0" fillId="0" borderId="1" xfId="1" applyNumberFormat="1" applyFont="1" applyBorder="1" applyAlignment="1">
      <alignment horizontal="center" vertical="center"/>
    </xf>
    <xf numFmtId="0" fontId="6" fillId="0" borderId="8" xfId="0" applyFont="1" applyFill="1" applyBorder="1" applyAlignment="1">
      <alignment horizontal="center" vertical="center"/>
    </xf>
    <xf numFmtId="41" fontId="12" fillId="0" borderId="1" xfId="1" applyFont="1" applyBorder="1" applyAlignment="1">
      <alignment horizontal="center" vertical="center"/>
    </xf>
    <xf numFmtId="41" fontId="6" fillId="0" borderId="24" xfId="0" applyNumberFormat="1" applyFont="1" applyFill="1" applyBorder="1" applyAlignment="1">
      <alignment horizontal="center" vertical="center"/>
    </xf>
    <xf numFmtId="0" fontId="6" fillId="0" borderId="0" xfId="0" applyFont="1" applyFill="1" applyBorder="1">
      <alignment vertical="center"/>
    </xf>
    <xf numFmtId="41" fontId="0" fillId="0" borderId="1" xfId="1" applyFont="1" applyBorder="1">
      <alignment vertical="center"/>
    </xf>
    <xf numFmtId="41" fontId="0" fillId="5" borderId="1" xfId="1" applyFont="1" applyFill="1" applyBorder="1">
      <alignment vertical="center"/>
    </xf>
    <xf numFmtId="41" fontId="10" fillId="0" borderId="1" xfId="1" applyFont="1" applyFill="1" applyBorder="1">
      <alignment vertical="center"/>
    </xf>
    <xf numFmtId="0" fontId="0" fillId="0" borderId="1" xfId="1" applyNumberFormat="1" applyFont="1" applyFill="1" applyBorder="1" applyAlignment="1">
      <alignment horizontal="center" vertical="center"/>
    </xf>
    <xf numFmtId="41" fontId="0" fillId="0" borderId="1" xfId="0" applyNumberFormat="1" applyFill="1" applyBorder="1">
      <alignment vertical="center"/>
    </xf>
    <xf numFmtId="41" fontId="0" fillId="0" borderId="0" xfId="0" applyNumberFormat="1" applyFill="1">
      <alignment vertical="center"/>
    </xf>
    <xf numFmtId="0" fontId="0" fillId="0" borderId="0" xfId="0" applyFill="1">
      <alignment vertical="center"/>
    </xf>
    <xf numFmtId="41" fontId="0" fillId="0" borderId="3" xfId="1" applyFont="1" applyFill="1" applyBorder="1">
      <alignment vertical="center"/>
    </xf>
    <xf numFmtId="41" fontId="0" fillId="0" borderId="14" xfId="1" applyFont="1" applyFill="1" applyBorder="1">
      <alignment vertical="center"/>
    </xf>
    <xf numFmtId="41" fontId="0" fillId="0" borderId="4" xfId="1" applyFont="1" applyFill="1" applyBorder="1">
      <alignment vertical="center"/>
    </xf>
    <xf numFmtId="41" fontId="0" fillId="0" borderId="10" xfId="1" applyFont="1" applyFill="1" applyBorder="1">
      <alignment vertical="center"/>
    </xf>
    <xf numFmtId="13" fontId="12" fillId="0" borderId="1" xfId="1" applyNumberFormat="1" applyFont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41" fontId="6" fillId="5" borderId="1" xfId="0" applyNumberFormat="1" applyFont="1" applyFill="1" applyBorder="1" applyAlignment="1">
      <alignment horizontal="center" vertical="center"/>
    </xf>
    <xf numFmtId="41" fontId="0" fillId="0" borderId="1" xfId="1" applyFont="1" applyFill="1" applyBorder="1">
      <alignment vertical="center"/>
    </xf>
    <xf numFmtId="41" fontId="6" fillId="6" borderId="1" xfId="0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5" fillId="2" borderId="15" xfId="0" applyFont="1" applyFill="1" applyBorder="1" applyAlignment="1">
      <alignment horizontal="center" vertical="center" wrapText="1"/>
    </xf>
    <xf numFmtId="0" fontId="5" fillId="2" borderId="16" xfId="0" applyFont="1" applyFill="1" applyBorder="1" applyAlignment="1">
      <alignment horizontal="center" vertical="center" wrapText="1"/>
    </xf>
    <xf numFmtId="0" fontId="0" fillId="0" borderId="2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2" xfId="0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5" fillId="2" borderId="9" xfId="0" applyFont="1" applyFill="1" applyBorder="1" applyAlignment="1">
      <alignment horizontal="center" vertical="center" wrapText="1"/>
    </xf>
    <xf numFmtId="0" fontId="5" fillId="2" borderId="10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/>
    </xf>
    <xf numFmtId="0" fontId="5" fillId="2" borderId="17" xfId="0" applyFont="1" applyFill="1" applyBorder="1" applyAlignment="1">
      <alignment horizontal="center" vertical="center"/>
    </xf>
    <xf numFmtId="0" fontId="5" fillId="2" borderId="13" xfId="0" applyFont="1" applyFill="1" applyBorder="1" applyAlignment="1">
      <alignment horizontal="center" vertical="center"/>
    </xf>
    <xf numFmtId="0" fontId="0" fillId="0" borderId="8" xfId="0" applyFill="1" applyBorder="1" applyAlignment="1">
      <alignment horizontal="center" vertical="center" wrapText="1"/>
    </xf>
    <xf numFmtId="0" fontId="0" fillId="0" borderId="1" xfId="0" applyFill="1" applyBorder="1" applyAlignment="1">
      <alignment horizontal="center" vertical="center"/>
    </xf>
    <xf numFmtId="0" fontId="5" fillId="2" borderId="5" xfId="0" applyFont="1" applyFill="1" applyBorder="1" applyAlignment="1">
      <alignment horizontal="center" vertical="center"/>
    </xf>
    <xf numFmtId="0" fontId="5" fillId="2" borderId="23" xfId="0" applyFont="1" applyFill="1" applyBorder="1" applyAlignment="1">
      <alignment horizontal="center" vertical="center"/>
    </xf>
    <xf numFmtId="0" fontId="5" fillId="2" borderId="12" xfId="0" applyFont="1" applyFill="1" applyBorder="1" applyAlignment="1">
      <alignment horizontal="center" vertical="center"/>
    </xf>
    <xf numFmtId="176" fontId="5" fillId="2" borderId="12" xfId="0" applyNumberFormat="1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5" fillId="2" borderId="20" xfId="0" applyFont="1" applyFill="1" applyBorder="1" applyAlignment="1">
      <alignment horizontal="center" vertical="center"/>
    </xf>
    <xf numFmtId="0" fontId="5" fillId="2" borderId="22" xfId="0" applyFont="1" applyFill="1" applyBorder="1" applyAlignment="1">
      <alignment horizontal="center" vertical="center"/>
    </xf>
    <xf numFmtId="0" fontId="5" fillId="0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5" fillId="2" borderId="21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6"/>
  <sheetViews>
    <sheetView tabSelected="1" workbookViewId="0">
      <selection activeCell="C16" sqref="C16"/>
    </sheetView>
  </sheetViews>
  <sheetFormatPr defaultRowHeight="16.5" x14ac:dyDescent="0.3"/>
  <cols>
    <col min="2" max="2" width="32.875" customWidth="1"/>
    <col min="3" max="3" width="14.75" customWidth="1"/>
    <col min="4" max="15" width="13.5" customWidth="1"/>
    <col min="16" max="16" width="11.875" bestFit="1" customWidth="1"/>
  </cols>
  <sheetData>
    <row r="1" spans="1:16" ht="26.25" x14ac:dyDescent="0.3">
      <c r="A1" s="21" t="s">
        <v>56</v>
      </c>
    </row>
    <row r="2" spans="1:16" ht="35.450000000000003" customHeight="1" x14ac:dyDescent="0.3">
      <c r="A2" s="1" t="s">
        <v>0</v>
      </c>
      <c r="B2" s="1" t="s">
        <v>1</v>
      </c>
      <c r="C2" s="1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3"/>
    </row>
    <row r="3" spans="1:16" ht="34.9" customHeight="1" x14ac:dyDescent="0.3">
      <c r="A3" s="82" t="s">
        <v>85</v>
      </c>
      <c r="B3" s="18" t="s">
        <v>23</v>
      </c>
      <c r="C3" s="5">
        <f t="shared" ref="C3:C10" si="0">SUM(D3:O3)</f>
        <v>10533600</v>
      </c>
      <c r="D3" s="6">
        <f>'1.~8.항목별 사용 세부내역'!D4+'1.~8.항목별 사용 세부내역'!D5</f>
        <v>2633400</v>
      </c>
      <c r="E3" s="6">
        <f>'1.~8.항목별 사용 세부내역'!F4+'1.~8.항목별 사용 세부내역'!F5</f>
        <v>2633400</v>
      </c>
      <c r="F3" s="6">
        <f>'1.~8.항목별 사용 세부내역'!H4+'1.~8.항목별 사용 세부내역'!H5</f>
        <v>2633400</v>
      </c>
      <c r="G3" s="6">
        <f>'1.~8.항목별 사용 세부내역'!J4+'1.~8.항목별 사용 세부내역'!J5</f>
        <v>2633400</v>
      </c>
      <c r="H3" s="6"/>
      <c r="I3" s="6"/>
      <c r="J3" s="6"/>
      <c r="K3" s="6"/>
      <c r="L3" s="6"/>
      <c r="M3" s="6"/>
      <c r="N3" s="6"/>
      <c r="O3" s="6"/>
      <c r="P3" s="3"/>
    </row>
    <row r="4" spans="1:16" ht="34.9" customHeight="1" x14ac:dyDescent="0.3">
      <c r="A4" s="83"/>
      <c r="B4" s="7" t="s">
        <v>24</v>
      </c>
      <c r="C4" s="8">
        <f t="shared" si="0"/>
        <v>0</v>
      </c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3"/>
    </row>
    <row r="5" spans="1:16" ht="34.9" customHeight="1" x14ac:dyDescent="0.3">
      <c r="A5" s="83"/>
      <c r="B5" s="7" t="s">
        <v>25</v>
      </c>
      <c r="C5" s="8">
        <f>SUM(D5:O5)</f>
        <v>3348340</v>
      </c>
      <c r="D5" s="72"/>
      <c r="E5" s="72">
        <f>'3. 개인보호구 및 용품구매 세부내역'!F59</f>
        <v>2430000</v>
      </c>
      <c r="F5" s="72">
        <f>'3. 개인보호구 및 용품구매 세부내역'!H59+'3. 개인보호구 및 용품구매 세부내역'!J59</f>
        <v>248240</v>
      </c>
      <c r="G5" s="72">
        <f>'3. 개인보호구 및 용품구매 세부내역'!L59+'3. 개인보호구 및 용품구매 세부내역'!P59</f>
        <v>670100</v>
      </c>
      <c r="H5" s="72"/>
      <c r="I5" s="72"/>
      <c r="J5" s="72"/>
      <c r="K5" s="72"/>
      <c r="L5" s="72"/>
      <c r="M5" s="72"/>
      <c r="N5" s="72"/>
      <c r="O5" s="9"/>
      <c r="P5" s="3"/>
    </row>
    <row r="6" spans="1:16" ht="34.9" customHeight="1" x14ac:dyDescent="0.3">
      <c r="A6" s="83"/>
      <c r="B6" s="7" t="s">
        <v>26</v>
      </c>
      <c r="C6" s="8">
        <f t="shared" si="0"/>
        <v>0</v>
      </c>
      <c r="D6" s="72"/>
      <c r="E6" s="72"/>
      <c r="F6" s="72"/>
      <c r="G6" s="72"/>
      <c r="H6" s="72"/>
      <c r="I6" s="72"/>
      <c r="J6" s="72"/>
      <c r="K6" s="72"/>
      <c r="L6" s="72"/>
      <c r="M6" s="72"/>
      <c r="N6" s="72"/>
      <c r="O6" s="9"/>
      <c r="P6" s="3"/>
    </row>
    <row r="7" spans="1:16" ht="34.9" customHeight="1" x14ac:dyDescent="0.3">
      <c r="A7" s="83"/>
      <c r="B7" s="7" t="s">
        <v>27</v>
      </c>
      <c r="C7" s="8">
        <f>SUM(E7:O7)</f>
        <v>270000</v>
      </c>
      <c r="E7" s="72"/>
      <c r="F7" s="72">
        <f>'1.~8.항목별 사용 세부내역'!H15</f>
        <v>120000</v>
      </c>
      <c r="G7" s="72">
        <f>'1.~8.항목별 사용 세부내역'!J15</f>
        <v>150000</v>
      </c>
      <c r="H7" s="72"/>
      <c r="I7" s="72"/>
      <c r="J7" s="72"/>
      <c r="K7" s="72"/>
      <c r="L7" s="72"/>
      <c r="M7" s="72"/>
      <c r="N7" s="72"/>
      <c r="O7" s="9"/>
      <c r="P7" s="3"/>
    </row>
    <row r="8" spans="1:16" ht="34.9" customHeight="1" x14ac:dyDescent="0.3">
      <c r="A8" s="83"/>
      <c r="B8" s="7" t="s">
        <v>28</v>
      </c>
      <c r="C8" s="8">
        <f>SUM(D8:O8)</f>
        <v>0</v>
      </c>
      <c r="D8" s="72"/>
      <c r="E8" s="72"/>
      <c r="F8" s="72"/>
      <c r="G8" s="72"/>
      <c r="H8" s="72"/>
      <c r="I8" s="72"/>
      <c r="J8" s="72"/>
      <c r="K8" s="72"/>
      <c r="L8" s="72"/>
      <c r="M8" s="72"/>
      <c r="N8" s="72"/>
      <c r="O8" s="9"/>
      <c r="P8" s="3"/>
    </row>
    <row r="9" spans="1:16" ht="34.9" customHeight="1" x14ac:dyDescent="0.3">
      <c r="A9" s="83"/>
      <c r="B9" s="19" t="s">
        <v>29</v>
      </c>
      <c r="C9" s="8">
        <f t="shared" si="0"/>
        <v>0</v>
      </c>
      <c r="D9" s="73"/>
      <c r="E9" s="73"/>
      <c r="F9" s="73"/>
      <c r="G9" s="73"/>
      <c r="H9" s="73"/>
      <c r="I9" s="73"/>
      <c r="J9" s="73"/>
      <c r="K9" s="73"/>
      <c r="L9" s="73"/>
      <c r="M9" s="73"/>
      <c r="N9" s="73"/>
      <c r="O9" s="20"/>
      <c r="P9" s="3"/>
    </row>
    <row r="10" spans="1:16" ht="34.9" customHeight="1" x14ac:dyDescent="0.3">
      <c r="A10" s="83"/>
      <c r="B10" s="10" t="s">
        <v>30</v>
      </c>
      <c r="C10" s="11">
        <f t="shared" si="0"/>
        <v>0</v>
      </c>
      <c r="D10" s="74"/>
      <c r="E10" s="74"/>
      <c r="F10" s="74"/>
      <c r="G10" s="74"/>
      <c r="H10" s="74"/>
      <c r="I10" s="74"/>
      <c r="J10" s="74"/>
      <c r="K10" s="74"/>
      <c r="L10" s="74"/>
      <c r="M10" s="74"/>
      <c r="N10" s="74"/>
      <c r="O10" s="12"/>
      <c r="P10" s="3"/>
    </row>
    <row r="11" spans="1:16" ht="34.9" customHeight="1" x14ac:dyDescent="0.3">
      <c r="A11" s="84"/>
      <c r="B11" s="52" t="s">
        <v>84</v>
      </c>
      <c r="C11" s="11">
        <f>SUM(D11:O11)</f>
        <v>2622000</v>
      </c>
      <c r="D11" s="75"/>
      <c r="E11" s="75"/>
      <c r="F11" s="75"/>
      <c r="G11" s="75">
        <f>'3. 개인보호구 및 용품구매 세부내역'!N59</f>
        <v>2622000</v>
      </c>
      <c r="H11" s="75"/>
      <c r="I11" s="75"/>
      <c r="J11" s="75"/>
      <c r="K11" s="75"/>
      <c r="L11" s="75"/>
      <c r="M11" s="75"/>
      <c r="N11" s="75"/>
      <c r="O11" s="51"/>
      <c r="P11" s="3"/>
    </row>
    <row r="12" spans="1:16" ht="34.9" customHeight="1" x14ac:dyDescent="0.3">
      <c r="A12" s="81" t="s">
        <v>55</v>
      </c>
      <c r="B12" s="81"/>
      <c r="C12" s="28">
        <f t="shared" ref="C12:O12" si="1">SUM(C3:C11)</f>
        <v>16773940</v>
      </c>
      <c r="D12" s="28">
        <f t="shared" si="1"/>
        <v>2633400</v>
      </c>
      <c r="E12" s="28">
        <f t="shared" si="1"/>
        <v>5063400</v>
      </c>
      <c r="F12" s="28">
        <f t="shared" si="1"/>
        <v>3001640</v>
      </c>
      <c r="G12" s="28">
        <f t="shared" si="1"/>
        <v>6075500</v>
      </c>
      <c r="H12" s="28">
        <f t="shared" si="1"/>
        <v>0</v>
      </c>
      <c r="I12" s="28">
        <f t="shared" si="1"/>
        <v>0</v>
      </c>
      <c r="J12" s="28">
        <f t="shared" si="1"/>
        <v>0</v>
      </c>
      <c r="K12" s="28">
        <f t="shared" si="1"/>
        <v>0</v>
      </c>
      <c r="L12" s="28">
        <f>SUM(L3:L11)</f>
        <v>0</v>
      </c>
      <c r="M12" s="28">
        <f t="shared" si="1"/>
        <v>0</v>
      </c>
      <c r="N12" s="28">
        <f t="shared" si="1"/>
        <v>0</v>
      </c>
      <c r="O12" s="28">
        <f t="shared" si="1"/>
        <v>0</v>
      </c>
    </row>
    <row r="14" spans="1:16" x14ac:dyDescent="0.3">
      <c r="J14" s="3"/>
    </row>
    <row r="15" spans="1:16" x14ac:dyDescent="0.3">
      <c r="J15" s="3"/>
      <c r="O15" s="3"/>
    </row>
    <row r="16" spans="1:16" x14ac:dyDescent="0.3">
      <c r="J16" s="53"/>
      <c r="O16" s="3"/>
    </row>
  </sheetData>
  <mergeCells count="2">
    <mergeCell ref="A12:B12"/>
    <mergeCell ref="A3:A1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D20"/>
  <sheetViews>
    <sheetView workbookViewId="0">
      <pane xSplit="3" ySplit="3" topLeftCell="D4" activePane="bottomRight" state="frozen"/>
      <selection pane="topRight" activeCell="D1" sqref="D1"/>
      <selection pane="bottomLeft" activeCell="A4" sqref="A4"/>
      <selection pane="bottomRight" activeCell="H29" sqref="H29"/>
    </sheetView>
  </sheetViews>
  <sheetFormatPr defaultRowHeight="16.5" x14ac:dyDescent="0.3"/>
  <cols>
    <col min="1" max="1" width="27.75" customWidth="1"/>
    <col min="2" max="2" width="28.375" customWidth="1"/>
    <col min="3" max="4" width="12.375" bestFit="1" customWidth="1"/>
    <col min="5" max="5" width="11.125" bestFit="1" customWidth="1"/>
    <col min="6" max="6" width="12.375" bestFit="1" customWidth="1"/>
    <col min="7" max="7" width="8.75" customWidth="1"/>
    <col min="8" max="8" width="12.375" bestFit="1" customWidth="1"/>
    <col min="9" max="9" width="8.75" customWidth="1"/>
    <col min="10" max="10" width="12.375" bestFit="1" customWidth="1"/>
    <col min="11" max="11" width="8.75" customWidth="1"/>
    <col min="12" max="12" width="12.375" bestFit="1" customWidth="1"/>
    <col min="13" max="13" width="8.75" customWidth="1"/>
    <col min="14" max="14" width="12.375" bestFit="1" customWidth="1"/>
    <col min="15" max="15" width="8.75" customWidth="1"/>
    <col min="16" max="16" width="12.375" bestFit="1" customWidth="1"/>
    <col min="17" max="17" width="9.875" customWidth="1"/>
    <col min="18" max="18" width="12.375" bestFit="1" customWidth="1"/>
    <col min="19" max="19" width="10.375" bestFit="1" customWidth="1"/>
    <col min="20" max="20" width="12.375" bestFit="1" customWidth="1"/>
    <col min="21" max="21" width="10.375" bestFit="1" customWidth="1"/>
    <col min="22" max="22" width="12.375" bestFit="1" customWidth="1"/>
    <col min="23" max="23" width="9.875" bestFit="1" customWidth="1"/>
    <col min="24" max="24" width="13.625" bestFit="1" customWidth="1"/>
    <col min="25" max="25" width="12.25" customWidth="1"/>
    <col min="26" max="26" width="13.625" bestFit="1" customWidth="1"/>
    <col min="27" max="27" width="12" customWidth="1"/>
    <col min="28" max="28" width="18.625" bestFit="1" customWidth="1"/>
    <col min="29" max="29" width="14.75" customWidth="1"/>
  </cols>
  <sheetData>
    <row r="1" spans="1:30" ht="26.25" x14ac:dyDescent="0.3">
      <c r="A1" s="21" t="s">
        <v>57</v>
      </c>
    </row>
    <row r="2" spans="1:30" ht="17.45" customHeight="1" x14ac:dyDescent="0.3">
      <c r="A2" s="91" t="s">
        <v>15</v>
      </c>
      <c r="B2" s="91" t="s">
        <v>31</v>
      </c>
      <c r="C2" s="94" t="s">
        <v>60</v>
      </c>
      <c r="D2" s="85" t="s">
        <v>22</v>
      </c>
      <c r="E2" s="86"/>
      <c r="F2" s="85" t="s">
        <v>37</v>
      </c>
      <c r="G2" s="86"/>
      <c r="H2" s="85" t="s">
        <v>34</v>
      </c>
      <c r="I2" s="86"/>
      <c r="J2" s="85" t="s">
        <v>35</v>
      </c>
      <c r="K2" s="86"/>
      <c r="L2" s="85" t="s">
        <v>36</v>
      </c>
      <c r="M2" s="86"/>
      <c r="N2" s="85" t="s">
        <v>38</v>
      </c>
      <c r="O2" s="86"/>
      <c r="P2" s="85" t="s">
        <v>39</v>
      </c>
      <c r="Q2" s="86"/>
      <c r="R2" s="85" t="s">
        <v>40</v>
      </c>
      <c r="S2" s="86"/>
      <c r="T2" s="85" t="s">
        <v>41</v>
      </c>
      <c r="U2" s="86"/>
      <c r="V2" s="85" t="s">
        <v>42</v>
      </c>
      <c r="W2" s="86"/>
      <c r="X2" s="85" t="s">
        <v>43</v>
      </c>
      <c r="Y2" s="86"/>
      <c r="Z2" s="85" t="s">
        <v>44</v>
      </c>
      <c r="AA2" s="86"/>
      <c r="AB2" s="91" t="s">
        <v>16</v>
      </c>
    </row>
    <row r="3" spans="1:30" x14ac:dyDescent="0.3">
      <c r="A3" s="91"/>
      <c r="B3" s="91"/>
      <c r="C3" s="95"/>
      <c r="D3" s="24" t="s">
        <v>33</v>
      </c>
      <c r="E3" s="25" t="s">
        <v>32</v>
      </c>
      <c r="F3" s="24" t="s">
        <v>45</v>
      </c>
      <c r="G3" s="25" t="s">
        <v>46</v>
      </c>
      <c r="H3" s="24" t="s">
        <v>45</v>
      </c>
      <c r="I3" s="25" t="s">
        <v>47</v>
      </c>
      <c r="J3" s="24" t="s">
        <v>45</v>
      </c>
      <c r="K3" s="25" t="s">
        <v>48</v>
      </c>
      <c r="L3" s="24" t="s">
        <v>49</v>
      </c>
      <c r="M3" s="25" t="s">
        <v>48</v>
      </c>
      <c r="N3" s="24" t="s">
        <v>45</v>
      </c>
      <c r="O3" s="25" t="s">
        <v>47</v>
      </c>
      <c r="P3" s="24" t="s">
        <v>49</v>
      </c>
      <c r="Q3" s="25" t="s">
        <v>46</v>
      </c>
      <c r="R3" s="24" t="s">
        <v>49</v>
      </c>
      <c r="S3" s="25" t="s">
        <v>46</v>
      </c>
      <c r="T3" s="24" t="s">
        <v>49</v>
      </c>
      <c r="U3" s="25" t="s">
        <v>47</v>
      </c>
      <c r="V3" s="24" t="s">
        <v>50</v>
      </c>
      <c r="W3" s="25" t="s">
        <v>47</v>
      </c>
      <c r="X3" s="24" t="s">
        <v>49</v>
      </c>
      <c r="Y3" s="25" t="s">
        <v>47</v>
      </c>
      <c r="Z3" s="24" t="s">
        <v>50</v>
      </c>
      <c r="AA3" s="25" t="s">
        <v>47</v>
      </c>
      <c r="AB3" s="91"/>
    </row>
    <row r="4" spans="1:30" x14ac:dyDescent="0.3">
      <c r="A4" s="92" t="s">
        <v>23</v>
      </c>
      <c r="B4" s="4" t="s">
        <v>61</v>
      </c>
      <c r="C4" s="30">
        <f>D4+F4+H4+J4+L4+N4+P4+R4+T4+V4+X4+Z4</f>
        <v>5517600</v>
      </c>
      <c r="D4" s="54">
        <v>1379400</v>
      </c>
      <c r="E4" s="76" t="s">
        <v>137</v>
      </c>
      <c r="F4" s="54">
        <v>1379400</v>
      </c>
      <c r="G4" s="55" t="s">
        <v>138</v>
      </c>
      <c r="H4" s="54">
        <v>1379400</v>
      </c>
      <c r="I4" s="55" t="s">
        <v>139</v>
      </c>
      <c r="J4" s="54">
        <v>1379400</v>
      </c>
      <c r="K4" s="55" t="s">
        <v>153</v>
      </c>
      <c r="L4" s="54"/>
      <c r="M4" s="55"/>
      <c r="N4" s="54"/>
      <c r="O4" s="55"/>
      <c r="P4" s="54"/>
      <c r="Q4" s="62"/>
      <c r="R4" s="54"/>
      <c r="S4" s="62"/>
      <c r="T4" s="54"/>
      <c r="U4" s="62"/>
      <c r="V4" s="54"/>
      <c r="W4" s="57"/>
      <c r="X4" s="54"/>
      <c r="Y4" s="57"/>
      <c r="Z4" s="54"/>
      <c r="AA4" s="57"/>
      <c r="AB4" s="22"/>
    </row>
    <row r="5" spans="1:30" x14ac:dyDescent="0.3">
      <c r="A5" s="93"/>
      <c r="B5" s="27" t="s">
        <v>58</v>
      </c>
      <c r="C5" s="30">
        <f t="shared" ref="C5:C19" si="0">D5+F5+H5+J5+L5+N5+P5+R5+T5+V5+X5+Z5</f>
        <v>5016000</v>
      </c>
      <c r="D5" s="54">
        <v>1254000</v>
      </c>
      <c r="E5" s="62" t="s">
        <v>140</v>
      </c>
      <c r="F5" s="54">
        <v>1254000</v>
      </c>
      <c r="G5" s="55" t="s">
        <v>138</v>
      </c>
      <c r="H5" s="54">
        <v>1254000</v>
      </c>
      <c r="I5" s="55" t="s">
        <v>139</v>
      </c>
      <c r="J5" s="54">
        <v>1254000</v>
      </c>
      <c r="K5" s="55" t="s">
        <v>153</v>
      </c>
      <c r="L5" s="54"/>
      <c r="M5" s="55"/>
      <c r="N5" s="54"/>
      <c r="O5" s="55"/>
      <c r="P5" s="54"/>
      <c r="Q5" s="62"/>
      <c r="R5" s="54"/>
      <c r="S5" s="62"/>
      <c r="T5" s="54"/>
      <c r="U5" s="62"/>
      <c r="V5" s="54"/>
      <c r="W5" s="57"/>
      <c r="X5" s="54"/>
      <c r="Y5" s="57"/>
      <c r="Z5" s="54"/>
      <c r="AA5" s="57"/>
      <c r="AB5" s="22"/>
    </row>
    <row r="6" spans="1:30" x14ac:dyDescent="0.3">
      <c r="A6" s="23" t="s">
        <v>24</v>
      </c>
      <c r="B6" s="22"/>
      <c r="C6" s="30">
        <f t="shared" si="0"/>
        <v>0</v>
      </c>
      <c r="D6" s="54"/>
      <c r="E6" s="56"/>
      <c r="F6" s="54"/>
      <c r="G6" s="56"/>
      <c r="H6" s="54"/>
      <c r="I6" s="56"/>
      <c r="J6" s="54"/>
      <c r="K6" s="56"/>
      <c r="L6" s="54"/>
      <c r="M6" s="56"/>
      <c r="N6" s="54"/>
      <c r="O6" s="56"/>
      <c r="P6" s="54"/>
      <c r="Q6" s="56"/>
      <c r="R6" s="54"/>
      <c r="S6" s="56"/>
      <c r="T6" s="54"/>
      <c r="U6" s="56"/>
      <c r="V6" s="54"/>
      <c r="W6" s="56"/>
      <c r="X6" s="54"/>
      <c r="Y6" s="56"/>
      <c r="Z6" s="54"/>
      <c r="AA6" s="56"/>
      <c r="AB6" s="22"/>
    </row>
    <row r="7" spans="1:30" x14ac:dyDescent="0.3">
      <c r="A7" s="87" t="s">
        <v>26</v>
      </c>
      <c r="B7" s="4" t="s">
        <v>62</v>
      </c>
      <c r="C7" s="30">
        <f t="shared" si="0"/>
        <v>0</v>
      </c>
      <c r="D7" s="54"/>
      <c r="E7" s="56"/>
      <c r="F7" s="54"/>
      <c r="G7" s="56"/>
      <c r="H7" s="54"/>
      <c r="I7" s="56"/>
      <c r="J7" s="54"/>
      <c r="K7" s="56"/>
      <c r="L7" s="54"/>
      <c r="M7" s="56"/>
      <c r="N7" s="54"/>
      <c r="O7" s="56"/>
      <c r="P7" s="54"/>
      <c r="Q7" s="56"/>
      <c r="R7" s="54"/>
      <c r="S7" s="56"/>
      <c r="T7" s="54"/>
      <c r="U7" s="56"/>
      <c r="V7" s="54"/>
      <c r="W7" s="56"/>
      <c r="X7" s="54"/>
      <c r="Y7" s="56"/>
      <c r="Z7" s="54"/>
      <c r="AA7" s="56"/>
      <c r="AB7" s="22"/>
    </row>
    <row r="8" spans="1:30" x14ac:dyDescent="0.3">
      <c r="A8" s="88"/>
      <c r="B8" s="7" t="s">
        <v>63</v>
      </c>
      <c r="C8" s="30">
        <f t="shared" ref="C8" si="1">D8+F8+H8+J8+L8+N8+P8+R8+T8+V8+X8+Z8</f>
        <v>0</v>
      </c>
      <c r="D8" s="54"/>
      <c r="E8" s="56"/>
      <c r="F8" s="54"/>
      <c r="G8" s="56"/>
      <c r="H8" s="54"/>
      <c r="I8" s="56"/>
      <c r="J8" s="54"/>
      <c r="K8" s="56"/>
      <c r="L8" s="54"/>
      <c r="M8" s="56"/>
      <c r="N8" s="54"/>
      <c r="O8" s="56"/>
      <c r="P8" s="54"/>
      <c r="Q8" s="56"/>
      <c r="R8" s="54"/>
      <c r="S8" s="56"/>
      <c r="T8" s="54"/>
      <c r="U8" s="56"/>
      <c r="V8" s="54"/>
      <c r="W8" s="56"/>
      <c r="X8" s="54"/>
      <c r="Y8" s="56"/>
      <c r="Z8" s="54"/>
      <c r="AA8" s="56"/>
      <c r="AB8" s="22"/>
    </row>
    <row r="9" spans="1:30" x14ac:dyDescent="0.3">
      <c r="A9" s="89"/>
      <c r="B9" s="10" t="s">
        <v>59</v>
      </c>
      <c r="C9" s="30">
        <f t="shared" si="0"/>
        <v>0</v>
      </c>
      <c r="D9" s="54"/>
      <c r="E9" s="56"/>
      <c r="F9" s="54"/>
      <c r="G9" s="56"/>
      <c r="H9" s="54"/>
      <c r="I9" s="56"/>
      <c r="J9" s="54"/>
      <c r="K9" s="56"/>
      <c r="L9" s="54"/>
      <c r="M9" s="56"/>
      <c r="N9" s="54"/>
      <c r="O9" s="56"/>
      <c r="P9" s="54"/>
      <c r="Q9" s="56"/>
      <c r="R9" s="54"/>
      <c r="S9" s="56"/>
      <c r="T9" s="54"/>
      <c r="U9" s="56"/>
      <c r="V9" s="54"/>
      <c r="W9" s="56"/>
      <c r="X9" s="54"/>
      <c r="Y9" s="56"/>
      <c r="Z9" s="54"/>
      <c r="AA9" s="56"/>
      <c r="AB9" s="22"/>
    </row>
    <row r="10" spans="1:30" x14ac:dyDescent="0.3">
      <c r="A10" s="82" t="s">
        <v>27</v>
      </c>
      <c r="B10" s="4" t="s">
        <v>51</v>
      </c>
      <c r="C10" s="30">
        <f t="shared" si="0"/>
        <v>0</v>
      </c>
      <c r="D10" s="54"/>
      <c r="E10" s="56"/>
      <c r="F10" s="54"/>
      <c r="G10" s="57"/>
      <c r="H10" s="54"/>
      <c r="I10" s="56"/>
      <c r="J10" s="54"/>
      <c r="K10" s="56"/>
      <c r="L10" s="54"/>
      <c r="M10" s="56"/>
      <c r="N10" s="54"/>
      <c r="O10" s="56"/>
      <c r="P10" s="54"/>
      <c r="Q10" s="56"/>
      <c r="R10" s="54"/>
      <c r="S10" s="56"/>
      <c r="T10" s="54"/>
      <c r="U10" s="56"/>
      <c r="V10" s="54"/>
      <c r="W10" s="56"/>
      <c r="X10" s="54"/>
      <c r="Y10" s="56"/>
      <c r="Z10" s="54"/>
      <c r="AA10" s="56"/>
      <c r="AB10" s="22"/>
    </row>
    <row r="11" spans="1:30" x14ac:dyDescent="0.3">
      <c r="A11" s="83"/>
      <c r="B11" s="7" t="s">
        <v>52</v>
      </c>
      <c r="C11" s="30">
        <f>D11+F11+H11+J11+L11+N11+P11+R12+T11+V11+X11+Z11</f>
        <v>0</v>
      </c>
      <c r="D11" s="54"/>
      <c r="E11" s="56"/>
      <c r="F11" s="54"/>
      <c r="G11" s="56"/>
      <c r="H11" s="54"/>
      <c r="I11" s="56"/>
      <c r="J11" s="54"/>
      <c r="K11" s="56"/>
      <c r="L11" s="54"/>
      <c r="M11" s="56"/>
      <c r="N11" s="54"/>
      <c r="O11" s="56"/>
      <c r="P11" s="54"/>
      <c r="Q11" s="56"/>
      <c r="R11" s="22"/>
      <c r="S11" s="22"/>
      <c r="T11" s="54"/>
      <c r="U11" s="56"/>
      <c r="V11" s="54"/>
      <c r="W11" s="56"/>
      <c r="X11" s="54"/>
      <c r="Y11" s="56"/>
      <c r="Z11" s="54"/>
      <c r="AA11" s="56"/>
      <c r="AB11" s="22"/>
    </row>
    <row r="12" spans="1:30" x14ac:dyDescent="0.3">
      <c r="A12" s="83"/>
      <c r="B12" s="7" t="s">
        <v>53</v>
      </c>
      <c r="C12" s="30">
        <f>D12+F12+H12+J12+L12+N12+P12+R12+T12+V12+X12+Z12</f>
        <v>0</v>
      </c>
      <c r="D12" s="54"/>
      <c r="E12" s="56"/>
      <c r="F12" s="54"/>
      <c r="G12" s="56"/>
      <c r="H12" s="54"/>
      <c r="I12" s="56"/>
      <c r="J12" s="54"/>
      <c r="K12" s="56"/>
      <c r="L12" s="67"/>
      <c r="M12" s="68"/>
      <c r="N12" s="54"/>
      <c r="O12" s="56"/>
      <c r="P12" s="54"/>
      <c r="Q12" s="56"/>
      <c r="R12" s="54"/>
      <c r="S12" s="56"/>
      <c r="T12" s="54"/>
      <c r="U12" s="56"/>
      <c r="V12" s="54"/>
      <c r="W12" s="56"/>
      <c r="X12" s="54"/>
      <c r="Y12" s="60"/>
      <c r="Z12" s="54"/>
      <c r="AA12" s="56"/>
      <c r="AB12" s="22"/>
    </row>
    <row r="13" spans="1:30" x14ac:dyDescent="0.3">
      <c r="A13" s="83"/>
      <c r="B13" s="7" t="s">
        <v>80</v>
      </c>
      <c r="C13" s="30">
        <f t="shared" ref="C13" si="2">D13+F13+H13+J13+L13+N13+P13+R13+T13+V13+X13+Z13</f>
        <v>0</v>
      </c>
      <c r="D13" s="54"/>
      <c r="E13" s="56"/>
      <c r="F13" s="54"/>
      <c r="G13" s="56"/>
      <c r="H13" s="54"/>
      <c r="I13" s="56"/>
      <c r="J13" s="54"/>
      <c r="K13" s="56"/>
      <c r="L13" s="54"/>
      <c r="M13" s="56"/>
      <c r="N13" s="54"/>
      <c r="O13" s="56"/>
      <c r="P13" s="54"/>
      <c r="Q13" s="56"/>
      <c r="R13" s="54"/>
      <c r="S13" s="56"/>
      <c r="T13" s="54"/>
      <c r="U13" s="56"/>
      <c r="V13" s="54"/>
      <c r="W13" s="56"/>
      <c r="X13" s="54"/>
      <c r="Y13" s="60"/>
      <c r="Z13" s="54"/>
      <c r="AA13" s="56"/>
      <c r="AB13" s="22"/>
    </row>
    <row r="14" spans="1:30" x14ac:dyDescent="0.3">
      <c r="A14" s="83"/>
      <c r="B14" s="19" t="s">
        <v>82</v>
      </c>
      <c r="C14" s="30">
        <f>D14+F14+H14+J14+L14+N14+P14+R14+T14+V14+X14+Z14</f>
        <v>0</v>
      </c>
      <c r="D14" s="54"/>
      <c r="E14" s="56"/>
      <c r="F14" s="54"/>
      <c r="G14" s="56"/>
      <c r="H14" s="54"/>
      <c r="I14" s="56"/>
      <c r="J14" s="54"/>
      <c r="K14" s="56"/>
      <c r="L14" s="54"/>
      <c r="M14" s="56"/>
      <c r="N14" s="54"/>
      <c r="O14" s="56"/>
      <c r="P14" s="54"/>
      <c r="Q14" s="56"/>
      <c r="R14" s="54"/>
      <c r="S14" s="56"/>
      <c r="T14" s="54"/>
      <c r="U14" s="56"/>
      <c r="V14" s="54"/>
      <c r="W14" s="56"/>
      <c r="X14" s="54"/>
      <c r="Y14" s="56"/>
      <c r="Z14" s="54"/>
      <c r="AA14" s="56"/>
      <c r="AB14" s="22"/>
    </row>
    <row r="15" spans="1:30" x14ac:dyDescent="0.3">
      <c r="A15" s="90"/>
      <c r="B15" s="46" t="s">
        <v>142</v>
      </c>
      <c r="C15" s="30">
        <f t="shared" si="0"/>
        <v>270000</v>
      </c>
      <c r="D15" s="54"/>
      <c r="E15" s="56"/>
      <c r="F15" s="54"/>
      <c r="G15" s="56"/>
      <c r="H15" s="54">
        <v>120000</v>
      </c>
      <c r="I15" s="56" t="s">
        <v>141</v>
      </c>
      <c r="J15" s="54">
        <v>150000</v>
      </c>
      <c r="K15" s="56" t="s">
        <v>154</v>
      </c>
      <c r="L15" s="54"/>
      <c r="M15" s="56"/>
      <c r="N15" s="54"/>
      <c r="O15" s="56"/>
      <c r="P15" s="54"/>
      <c r="Q15" s="56"/>
      <c r="R15" s="54"/>
      <c r="S15" s="56"/>
      <c r="T15" s="54"/>
      <c r="U15" s="56"/>
      <c r="V15" s="54"/>
      <c r="W15" s="56"/>
      <c r="X15" s="54"/>
      <c r="Y15" s="56"/>
      <c r="Z15" s="54"/>
      <c r="AA15" s="56"/>
      <c r="AB15" s="22"/>
    </row>
    <row r="16" spans="1:30" x14ac:dyDescent="0.3">
      <c r="A16" s="23" t="s">
        <v>28</v>
      </c>
      <c r="B16" s="45" t="s">
        <v>54</v>
      </c>
      <c r="C16" s="30">
        <f t="shared" si="0"/>
        <v>0</v>
      </c>
      <c r="D16" s="54"/>
      <c r="E16" s="56"/>
      <c r="F16" s="54"/>
      <c r="G16" s="56"/>
      <c r="H16" s="54"/>
      <c r="I16" s="56"/>
      <c r="J16" s="54"/>
      <c r="K16" s="56"/>
      <c r="L16" s="54"/>
      <c r="M16" s="56"/>
      <c r="N16" s="54"/>
      <c r="O16" s="56"/>
      <c r="P16" s="54"/>
      <c r="Q16" s="56"/>
      <c r="R16" s="54"/>
      <c r="S16" s="56"/>
      <c r="T16" s="54"/>
      <c r="U16" s="56"/>
      <c r="V16" s="54"/>
      <c r="W16" s="56"/>
      <c r="X16" s="54"/>
      <c r="Y16" s="56"/>
      <c r="Z16" s="54"/>
      <c r="AA16" s="56"/>
      <c r="AB16" s="22"/>
      <c r="AD16" s="47"/>
    </row>
    <row r="17" spans="1:28" x14ac:dyDescent="0.3">
      <c r="A17" s="23" t="s">
        <v>29</v>
      </c>
      <c r="B17" s="22"/>
      <c r="C17" s="30">
        <f t="shared" si="0"/>
        <v>0</v>
      </c>
      <c r="D17" s="54"/>
      <c r="E17" s="56"/>
      <c r="F17" s="54"/>
      <c r="G17" s="56"/>
      <c r="H17" s="54"/>
      <c r="I17" s="56"/>
      <c r="J17" s="54"/>
      <c r="K17" s="56"/>
      <c r="L17" s="54"/>
      <c r="M17" s="56"/>
      <c r="N17" s="54"/>
      <c r="O17" s="56"/>
      <c r="P17" s="54"/>
      <c r="Q17" s="56"/>
      <c r="R17" s="54"/>
      <c r="S17" s="56"/>
      <c r="T17" s="54"/>
      <c r="U17" s="56"/>
      <c r="V17" s="54"/>
      <c r="W17" s="56"/>
      <c r="X17" s="54"/>
      <c r="Y17" s="56"/>
      <c r="Z17" s="54"/>
      <c r="AA17" s="56"/>
      <c r="AB17" s="22"/>
    </row>
    <row r="18" spans="1:28" x14ac:dyDescent="0.3">
      <c r="A18" s="23" t="s">
        <v>30</v>
      </c>
      <c r="B18" s="22"/>
      <c r="C18" s="30">
        <f t="shared" si="0"/>
        <v>0</v>
      </c>
      <c r="D18" s="54"/>
      <c r="E18" s="56"/>
      <c r="F18" s="54"/>
      <c r="G18" s="56"/>
      <c r="H18" s="54"/>
      <c r="I18" s="56"/>
      <c r="J18" s="54"/>
      <c r="K18" s="56"/>
      <c r="L18" s="54"/>
      <c r="M18" s="56"/>
      <c r="N18" s="54"/>
      <c r="O18" s="56"/>
      <c r="P18" s="54"/>
      <c r="Q18" s="56"/>
      <c r="R18" s="54"/>
      <c r="S18" s="56"/>
      <c r="T18" s="54"/>
      <c r="U18" s="56"/>
      <c r="V18" s="54"/>
      <c r="W18" s="56"/>
      <c r="X18" s="54"/>
      <c r="Y18" s="56"/>
      <c r="Z18" s="54"/>
      <c r="AA18" s="56"/>
      <c r="AB18" s="22"/>
    </row>
    <row r="19" spans="1:28" x14ac:dyDescent="0.3">
      <c r="A19" s="23"/>
      <c r="B19" s="22"/>
      <c r="C19" s="30">
        <f t="shared" si="0"/>
        <v>0</v>
      </c>
      <c r="D19" s="54"/>
      <c r="E19" s="56"/>
      <c r="F19" s="54"/>
      <c r="G19" s="56"/>
      <c r="H19" s="54"/>
      <c r="I19" s="56"/>
      <c r="J19" s="54"/>
      <c r="K19" s="58"/>
      <c r="L19" s="54"/>
      <c r="M19" s="56"/>
      <c r="N19" s="54"/>
      <c r="O19" s="58"/>
      <c r="P19" s="54"/>
      <c r="Q19" s="56"/>
      <c r="R19" s="54"/>
      <c r="S19" s="56"/>
      <c r="T19" s="54"/>
      <c r="U19" s="56"/>
      <c r="V19" s="54"/>
      <c r="W19" s="56"/>
      <c r="X19" s="54"/>
      <c r="Y19" s="56"/>
      <c r="Z19" s="54"/>
      <c r="AA19" s="56"/>
      <c r="AB19" s="22"/>
    </row>
    <row r="20" spans="1:28" x14ac:dyDescent="0.3">
      <c r="I20" s="26"/>
      <c r="X20" s="48"/>
    </row>
  </sheetData>
  <mergeCells count="19">
    <mergeCell ref="A10:A15"/>
    <mergeCell ref="AB2:AB3"/>
    <mergeCell ref="Z2:AA2"/>
    <mergeCell ref="B2:B3"/>
    <mergeCell ref="A2:A3"/>
    <mergeCell ref="A4:A5"/>
    <mergeCell ref="C2:C3"/>
    <mergeCell ref="X2:Y2"/>
    <mergeCell ref="F2:G2"/>
    <mergeCell ref="H2:I2"/>
    <mergeCell ref="J2:K2"/>
    <mergeCell ref="N2:O2"/>
    <mergeCell ref="P2:Q2"/>
    <mergeCell ref="R2:S2"/>
    <mergeCell ref="T2:U2"/>
    <mergeCell ref="V2:W2"/>
    <mergeCell ref="D2:E2"/>
    <mergeCell ref="A7:A9"/>
    <mergeCell ref="L2:M2"/>
  </mergeCells>
  <phoneticPr fontId="2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C66"/>
  <sheetViews>
    <sheetView zoomScale="71" zoomScaleNormal="71" workbookViewId="0">
      <pane xSplit="4" ySplit="4" topLeftCell="E29" activePane="bottomRight" state="frozen"/>
      <selection activeCell="U24" sqref="U24"/>
      <selection pane="topRight" activeCell="U24" sqref="U24"/>
      <selection pane="bottomLeft" activeCell="U24" sqref="U24"/>
      <selection pane="bottomRight" activeCell="W54" sqref="W54"/>
    </sheetView>
  </sheetViews>
  <sheetFormatPr defaultRowHeight="16.5" x14ac:dyDescent="0.3"/>
  <cols>
    <col min="1" max="1" width="10.5" customWidth="1"/>
    <col min="2" max="2" width="20.5" customWidth="1"/>
    <col min="3" max="3" width="15.875" bestFit="1" customWidth="1"/>
    <col min="4" max="4" width="19.5" bestFit="1" customWidth="1"/>
    <col min="5" max="5" width="12.625" customWidth="1"/>
    <col min="6" max="6" width="11.25" customWidth="1"/>
    <col min="7" max="7" width="12.625" customWidth="1"/>
    <col min="8" max="8" width="11.25" customWidth="1"/>
    <col min="9" max="9" width="12.625" customWidth="1"/>
    <col min="10" max="10" width="11.25" customWidth="1"/>
    <col min="11" max="11" width="12.625" customWidth="1"/>
    <col min="12" max="12" width="11.25" customWidth="1"/>
    <col min="13" max="13" width="12.625" customWidth="1"/>
    <col min="14" max="14" width="11.25" customWidth="1"/>
    <col min="15" max="15" width="12.625" customWidth="1"/>
    <col min="16" max="16" width="11.25" customWidth="1"/>
    <col min="17" max="17" width="8.375" customWidth="1"/>
    <col min="21" max="21" width="16.75" bestFit="1" customWidth="1"/>
    <col min="23" max="23" width="12.375" bestFit="1" customWidth="1"/>
    <col min="29" max="29" width="16.75" bestFit="1" customWidth="1"/>
  </cols>
  <sheetData>
    <row r="1" spans="1:19" ht="27" thickBot="1" x14ac:dyDescent="0.35">
      <c r="A1" s="17" t="s">
        <v>128</v>
      </c>
      <c r="F1" s="33"/>
      <c r="H1" s="33"/>
      <c r="J1" s="33"/>
      <c r="L1" s="33"/>
      <c r="N1" s="33"/>
      <c r="P1" s="33"/>
    </row>
    <row r="2" spans="1:19" s="13" customFormat="1" ht="30.6" customHeight="1" thickBot="1" x14ac:dyDescent="0.35">
      <c r="A2" s="91" t="s">
        <v>64</v>
      </c>
      <c r="B2" s="91"/>
      <c r="C2" s="101" t="s">
        <v>65</v>
      </c>
      <c r="D2" s="102"/>
      <c r="E2" s="106" t="s">
        <v>37</v>
      </c>
      <c r="F2" s="107"/>
      <c r="G2" s="106" t="s">
        <v>135</v>
      </c>
      <c r="H2" s="115"/>
      <c r="I2" s="115"/>
      <c r="J2" s="107"/>
      <c r="K2" s="106" t="s">
        <v>152</v>
      </c>
      <c r="L2" s="115"/>
      <c r="M2" s="115"/>
      <c r="N2" s="115"/>
      <c r="O2" s="115"/>
      <c r="P2" s="107"/>
      <c r="Q2" s="96" t="s">
        <v>66</v>
      </c>
    </row>
    <row r="3" spans="1:19" s="13" customFormat="1" ht="30.6" customHeight="1" x14ac:dyDescent="0.3">
      <c r="A3" s="91"/>
      <c r="B3" s="91"/>
      <c r="C3" s="103"/>
      <c r="D3" s="98"/>
      <c r="E3" s="104" t="s">
        <v>136</v>
      </c>
      <c r="F3" s="98"/>
      <c r="G3" s="104" t="s">
        <v>131</v>
      </c>
      <c r="H3" s="98"/>
      <c r="I3" s="104" t="s">
        <v>143</v>
      </c>
      <c r="J3" s="98"/>
      <c r="K3" s="104" t="s">
        <v>145</v>
      </c>
      <c r="L3" s="98"/>
      <c r="M3" s="104" t="s">
        <v>146</v>
      </c>
      <c r="N3" s="98"/>
      <c r="O3" s="104" t="s">
        <v>147</v>
      </c>
      <c r="P3" s="98"/>
      <c r="Q3" s="97"/>
    </row>
    <row r="4" spans="1:19" s="13" customFormat="1" ht="25.15" customHeight="1" x14ac:dyDescent="0.3">
      <c r="A4" s="91"/>
      <c r="B4" s="91"/>
      <c r="C4" s="31" t="s">
        <v>17</v>
      </c>
      <c r="D4" s="32" t="s">
        <v>67</v>
      </c>
      <c r="E4" s="44" t="s">
        <v>18</v>
      </c>
      <c r="F4" s="44" t="s">
        <v>19</v>
      </c>
      <c r="G4" s="44" t="s">
        <v>18</v>
      </c>
      <c r="H4" s="44" t="s">
        <v>19</v>
      </c>
      <c r="I4" s="77" t="s">
        <v>18</v>
      </c>
      <c r="J4" s="77" t="s">
        <v>19</v>
      </c>
      <c r="K4" s="77" t="s">
        <v>18</v>
      </c>
      <c r="L4" s="77" t="s">
        <v>19</v>
      </c>
      <c r="M4" s="77" t="s">
        <v>18</v>
      </c>
      <c r="N4" s="77" t="s">
        <v>19</v>
      </c>
      <c r="O4" s="77" t="s">
        <v>18</v>
      </c>
      <c r="P4" s="77" t="s">
        <v>19</v>
      </c>
      <c r="Q4" s="98"/>
    </row>
    <row r="5" spans="1:19" s="13" customFormat="1" ht="25.15" customHeight="1" x14ac:dyDescent="0.3">
      <c r="A5" s="105" t="s">
        <v>68</v>
      </c>
      <c r="B5" s="14" t="s">
        <v>20</v>
      </c>
      <c r="C5" s="15">
        <f t="shared" ref="C5:C57" si="0">E5+G5+I5+K5+M5+O5</f>
        <v>0</v>
      </c>
      <c r="D5" s="34">
        <f t="shared" ref="D5:D57" si="1">F5+H5+J5+L5+N5+P5</f>
        <v>0</v>
      </c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35"/>
    </row>
    <row r="6" spans="1:19" s="13" customFormat="1" ht="25.15" customHeight="1" x14ac:dyDescent="0.3">
      <c r="A6" s="105"/>
      <c r="B6" s="14" t="s">
        <v>21</v>
      </c>
      <c r="C6" s="15">
        <f t="shared" si="0"/>
        <v>1</v>
      </c>
      <c r="D6" s="34">
        <f t="shared" si="1"/>
        <v>104000</v>
      </c>
      <c r="E6" s="16"/>
      <c r="F6" s="16"/>
      <c r="G6" s="16"/>
      <c r="H6" s="16"/>
      <c r="I6" s="16"/>
      <c r="J6" s="16"/>
      <c r="K6" s="16"/>
      <c r="L6" s="16"/>
      <c r="M6" s="16"/>
      <c r="N6" s="16"/>
      <c r="O6" s="80">
        <v>1</v>
      </c>
      <c r="P6" s="80">
        <v>104000</v>
      </c>
      <c r="Q6" s="35"/>
      <c r="S6" s="63"/>
    </row>
    <row r="7" spans="1:19" s="13" customFormat="1" ht="25.15" customHeight="1" x14ac:dyDescent="0.3">
      <c r="A7" s="105"/>
      <c r="B7" s="14" t="s">
        <v>106</v>
      </c>
      <c r="C7" s="15">
        <f t="shared" si="0"/>
        <v>0</v>
      </c>
      <c r="D7" s="34">
        <f t="shared" si="1"/>
        <v>0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16"/>
      <c r="P7" s="16"/>
      <c r="Q7" s="35"/>
    </row>
    <row r="8" spans="1:19" s="13" customFormat="1" ht="25.15" customHeight="1" x14ac:dyDescent="0.3">
      <c r="A8" s="105"/>
      <c r="B8" s="14" t="s">
        <v>69</v>
      </c>
      <c r="C8" s="15">
        <f t="shared" si="0"/>
        <v>0</v>
      </c>
      <c r="D8" s="34">
        <f t="shared" si="1"/>
        <v>0</v>
      </c>
      <c r="E8" s="16"/>
      <c r="F8" s="16"/>
      <c r="G8" s="16"/>
      <c r="H8" s="16"/>
      <c r="I8" s="16"/>
      <c r="J8" s="16"/>
      <c r="K8" s="16"/>
      <c r="L8" s="16"/>
      <c r="M8" s="16"/>
      <c r="N8" s="16"/>
      <c r="O8" s="16"/>
      <c r="P8" s="16"/>
      <c r="Q8" s="35"/>
    </row>
    <row r="9" spans="1:19" s="13" customFormat="1" ht="25.15" customHeight="1" x14ac:dyDescent="0.3">
      <c r="A9" s="105"/>
      <c r="B9" s="14" t="s">
        <v>81</v>
      </c>
      <c r="C9" s="15">
        <f t="shared" si="0"/>
        <v>0</v>
      </c>
      <c r="D9" s="34">
        <f t="shared" si="1"/>
        <v>0</v>
      </c>
      <c r="E9" s="16"/>
      <c r="F9" s="16"/>
      <c r="G9" s="16"/>
      <c r="H9" s="16"/>
      <c r="I9" s="16"/>
      <c r="J9" s="16"/>
      <c r="K9" s="16"/>
      <c r="L9" s="16"/>
      <c r="M9" s="16"/>
      <c r="N9" s="16"/>
      <c r="O9" s="16"/>
      <c r="P9" s="16"/>
      <c r="Q9" s="35"/>
      <c r="S9" s="64"/>
    </row>
    <row r="10" spans="1:19" s="13" customFormat="1" ht="25.15" customHeight="1" x14ac:dyDescent="0.3">
      <c r="A10" s="105"/>
      <c r="B10" s="14" t="s">
        <v>118</v>
      </c>
      <c r="C10" s="15">
        <f t="shared" si="0"/>
        <v>0</v>
      </c>
      <c r="D10" s="34">
        <f t="shared" si="1"/>
        <v>0</v>
      </c>
      <c r="E10" s="16"/>
      <c r="F10" s="16"/>
      <c r="G10" s="16"/>
      <c r="H10" s="16"/>
      <c r="I10" s="16"/>
      <c r="J10" s="16"/>
      <c r="K10" s="16"/>
      <c r="L10" s="16"/>
      <c r="M10" s="16"/>
      <c r="N10" s="16"/>
      <c r="O10" s="16"/>
      <c r="P10" s="16"/>
      <c r="Q10" s="35"/>
      <c r="S10" s="64"/>
    </row>
    <row r="11" spans="1:19" s="13" customFormat="1" ht="25.15" customHeight="1" x14ac:dyDescent="0.3">
      <c r="A11" s="105"/>
      <c r="B11" s="14" t="s">
        <v>107</v>
      </c>
      <c r="C11" s="15">
        <f t="shared" si="0"/>
        <v>0</v>
      </c>
      <c r="D11" s="34">
        <f t="shared" si="1"/>
        <v>0</v>
      </c>
      <c r="E11" s="16"/>
      <c r="F11" s="16"/>
      <c r="G11" s="16"/>
      <c r="H11" s="16"/>
      <c r="I11" s="16"/>
      <c r="J11" s="16"/>
      <c r="K11" s="16"/>
      <c r="L11" s="16"/>
      <c r="M11" s="16"/>
      <c r="N11" s="16"/>
      <c r="O11" s="16"/>
      <c r="P11" s="16"/>
      <c r="Q11" s="35"/>
      <c r="S11" s="64"/>
    </row>
    <row r="12" spans="1:19" s="13" customFormat="1" ht="25.15" customHeight="1" x14ac:dyDescent="0.3">
      <c r="A12" s="105"/>
      <c r="B12" s="14" t="s">
        <v>98</v>
      </c>
      <c r="C12" s="15">
        <f t="shared" si="0"/>
        <v>0</v>
      </c>
      <c r="D12" s="34">
        <f t="shared" si="1"/>
        <v>0</v>
      </c>
      <c r="E12" s="16"/>
      <c r="F12" s="16"/>
      <c r="G12" s="16"/>
      <c r="H12" s="16"/>
      <c r="I12" s="16"/>
      <c r="J12" s="16"/>
      <c r="K12" s="16"/>
      <c r="L12" s="16"/>
      <c r="M12" s="16"/>
      <c r="N12" s="16"/>
      <c r="O12" s="16"/>
      <c r="P12" s="16"/>
      <c r="Q12" s="35"/>
      <c r="S12" s="64"/>
    </row>
    <row r="13" spans="1:19" s="13" customFormat="1" ht="25.15" customHeight="1" x14ac:dyDescent="0.3">
      <c r="A13" s="105"/>
      <c r="B13" s="14" t="s">
        <v>117</v>
      </c>
      <c r="C13" s="15">
        <f t="shared" si="0"/>
        <v>1</v>
      </c>
      <c r="D13" s="34">
        <f t="shared" si="1"/>
        <v>158000</v>
      </c>
      <c r="E13" s="16"/>
      <c r="F13" s="16"/>
      <c r="G13" s="16"/>
      <c r="H13" s="16"/>
      <c r="I13" s="80">
        <v>1</v>
      </c>
      <c r="J13" s="80">
        <v>158000</v>
      </c>
      <c r="K13" s="16"/>
      <c r="L13" s="16"/>
      <c r="M13" s="16"/>
      <c r="N13" s="16"/>
      <c r="O13" s="16"/>
      <c r="P13" s="16"/>
      <c r="Q13" s="35"/>
      <c r="S13" s="64"/>
    </row>
    <row r="14" spans="1:19" s="13" customFormat="1" ht="25.15" customHeight="1" x14ac:dyDescent="0.3">
      <c r="A14" s="105"/>
      <c r="B14" s="14" t="s">
        <v>113</v>
      </c>
      <c r="C14" s="15">
        <f t="shared" si="0"/>
        <v>0</v>
      </c>
      <c r="D14" s="34">
        <f t="shared" si="1"/>
        <v>0</v>
      </c>
      <c r="E14" s="16"/>
      <c r="F14" s="16"/>
      <c r="G14" s="16"/>
      <c r="H14" s="16"/>
      <c r="I14" s="16"/>
      <c r="J14" s="16"/>
      <c r="K14" s="16"/>
      <c r="L14" s="16"/>
      <c r="M14" s="16"/>
      <c r="N14" s="16"/>
      <c r="O14" s="16"/>
      <c r="P14" s="16"/>
      <c r="Q14" s="61"/>
      <c r="S14" s="64"/>
    </row>
    <row r="15" spans="1:19" s="13" customFormat="1" ht="25.15" customHeight="1" x14ac:dyDescent="0.3">
      <c r="A15" s="105"/>
      <c r="B15" s="14" t="s">
        <v>125</v>
      </c>
      <c r="C15" s="15">
        <f t="shared" si="0"/>
        <v>0</v>
      </c>
      <c r="D15" s="34">
        <f t="shared" si="1"/>
        <v>0</v>
      </c>
      <c r="E15" s="16"/>
      <c r="F15" s="16"/>
      <c r="G15" s="16"/>
      <c r="H15" s="16"/>
      <c r="I15" s="16"/>
      <c r="J15" s="16"/>
      <c r="K15" s="16"/>
      <c r="L15" s="16"/>
      <c r="M15" s="16"/>
      <c r="N15" s="16"/>
      <c r="O15" s="16"/>
      <c r="P15" s="16"/>
      <c r="Q15" s="61"/>
      <c r="S15" s="64"/>
    </row>
    <row r="16" spans="1:19" s="13" customFormat="1" ht="25.15" customHeight="1" x14ac:dyDescent="0.3">
      <c r="A16" s="105"/>
      <c r="B16" s="14" t="s">
        <v>97</v>
      </c>
      <c r="C16" s="15">
        <f t="shared" si="0"/>
        <v>0</v>
      </c>
      <c r="D16" s="34">
        <f t="shared" si="1"/>
        <v>0</v>
      </c>
      <c r="E16" s="16"/>
      <c r="F16" s="16"/>
      <c r="G16" s="16"/>
      <c r="H16" s="16"/>
      <c r="I16" s="16"/>
      <c r="J16" s="16"/>
      <c r="K16" s="16"/>
      <c r="L16" s="16"/>
      <c r="M16" s="16"/>
      <c r="N16" s="16"/>
      <c r="O16" s="16"/>
      <c r="P16" s="16"/>
      <c r="Q16" s="35"/>
    </row>
    <row r="17" spans="1:17" s="13" customFormat="1" ht="25.15" customHeight="1" x14ac:dyDescent="0.3">
      <c r="A17" s="105"/>
      <c r="B17" s="14" t="s">
        <v>70</v>
      </c>
      <c r="C17" s="15">
        <f t="shared" si="0"/>
        <v>0</v>
      </c>
      <c r="D17" s="34">
        <f t="shared" si="1"/>
        <v>0</v>
      </c>
      <c r="E17" s="16"/>
      <c r="F17" s="16"/>
      <c r="G17" s="16"/>
      <c r="H17" s="16"/>
      <c r="I17" s="16"/>
      <c r="J17" s="16"/>
      <c r="K17" s="16"/>
      <c r="L17" s="16"/>
      <c r="M17" s="16"/>
      <c r="N17" s="16"/>
      <c r="O17" s="16"/>
      <c r="P17" s="16"/>
      <c r="Q17" s="35"/>
    </row>
    <row r="18" spans="1:17" s="13" customFormat="1" ht="25.15" customHeight="1" x14ac:dyDescent="0.3">
      <c r="A18" s="105"/>
      <c r="B18" s="14" t="s">
        <v>111</v>
      </c>
      <c r="C18" s="15">
        <f t="shared" si="0"/>
        <v>0</v>
      </c>
      <c r="D18" s="34">
        <f t="shared" si="1"/>
        <v>0</v>
      </c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35"/>
    </row>
    <row r="19" spans="1:17" s="13" customFormat="1" ht="25.15" customHeight="1" x14ac:dyDescent="0.3">
      <c r="A19" s="105"/>
      <c r="B19" s="14" t="s">
        <v>101</v>
      </c>
      <c r="C19" s="15">
        <f t="shared" si="0"/>
        <v>0</v>
      </c>
      <c r="D19" s="34">
        <f t="shared" si="1"/>
        <v>0</v>
      </c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35"/>
    </row>
    <row r="20" spans="1:17" s="13" customFormat="1" ht="25.15" customHeight="1" x14ac:dyDescent="0.3">
      <c r="A20" s="105"/>
      <c r="B20" s="14" t="s">
        <v>102</v>
      </c>
      <c r="C20" s="15">
        <f t="shared" si="0"/>
        <v>0</v>
      </c>
      <c r="D20" s="34">
        <f t="shared" si="1"/>
        <v>0</v>
      </c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35"/>
    </row>
    <row r="21" spans="1:17" s="13" customFormat="1" ht="25.15" customHeight="1" x14ac:dyDescent="0.3">
      <c r="A21" s="105" t="s">
        <v>71</v>
      </c>
      <c r="B21" s="14" t="s">
        <v>72</v>
      </c>
      <c r="C21" s="15">
        <f t="shared" si="0"/>
        <v>0</v>
      </c>
      <c r="D21" s="34">
        <f t="shared" si="1"/>
        <v>0</v>
      </c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35"/>
    </row>
    <row r="22" spans="1:17" s="13" customFormat="1" ht="25.15" customHeight="1" x14ac:dyDescent="0.3">
      <c r="A22" s="105"/>
      <c r="B22" s="14" t="s">
        <v>99</v>
      </c>
      <c r="C22" s="15">
        <f t="shared" si="0"/>
        <v>1</v>
      </c>
      <c r="D22" s="34">
        <f t="shared" si="1"/>
        <v>29000</v>
      </c>
      <c r="E22" s="16"/>
      <c r="F22" s="16"/>
      <c r="G22" s="16"/>
      <c r="H22" s="16"/>
      <c r="I22" s="80">
        <v>1</v>
      </c>
      <c r="J22" s="80">
        <v>29000</v>
      </c>
      <c r="K22" s="16"/>
      <c r="L22" s="16"/>
      <c r="M22" s="16"/>
      <c r="N22" s="16"/>
      <c r="O22" s="16"/>
      <c r="P22" s="16"/>
      <c r="Q22" s="35"/>
    </row>
    <row r="23" spans="1:17" s="13" customFormat="1" ht="25.15" customHeight="1" x14ac:dyDescent="0.3">
      <c r="A23" s="105"/>
      <c r="B23" s="14" t="s">
        <v>73</v>
      </c>
      <c r="C23" s="15">
        <f t="shared" si="0"/>
        <v>0</v>
      </c>
      <c r="D23" s="34">
        <f t="shared" si="1"/>
        <v>0</v>
      </c>
      <c r="E23" s="16"/>
      <c r="F23" s="16"/>
      <c r="G23" s="16"/>
      <c r="H23" s="16"/>
      <c r="I23" s="16"/>
      <c r="J23" s="16"/>
      <c r="K23" s="16"/>
      <c r="L23" s="16"/>
      <c r="M23" s="16"/>
      <c r="N23" s="16"/>
      <c r="O23" s="16"/>
      <c r="P23" s="16"/>
      <c r="Q23" s="35"/>
    </row>
    <row r="24" spans="1:17" s="13" customFormat="1" ht="24.75" customHeight="1" x14ac:dyDescent="0.3">
      <c r="A24" s="105"/>
      <c r="B24" s="14" t="s">
        <v>148</v>
      </c>
      <c r="C24" s="15">
        <f t="shared" si="0"/>
        <v>114</v>
      </c>
      <c r="D24" s="34">
        <f t="shared" si="1"/>
        <v>2622000</v>
      </c>
      <c r="E24" s="16"/>
      <c r="F24" s="16"/>
      <c r="G24" s="16"/>
      <c r="H24" s="16"/>
      <c r="I24" s="16"/>
      <c r="J24" s="16"/>
      <c r="K24" s="16"/>
      <c r="L24" s="16"/>
      <c r="M24" s="78">
        <v>114</v>
      </c>
      <c r="N24" s="78">
        <v>2622000</v>
      </c>
      <c r="O24" s="16"/>
      <c r="P24" s="16"/>
      <c r="Q24" s="35"/>
    </row>
    <row r="25" spans="1:17" s="13" customFormat="1" ht="25.15" customHeight="1" x14ac:dyDescent="0.3">
      <c r="A25" s="105"/>
      <c r="B25" s="14" t="s">
        <v>74</v>
      </c>
      <c r="C25" s="15">
        <f t="shared" si="0"/>
        <v>111</v>
      </c>
      <c r="D25" s="34">
        <f t="shared" si="1"/>
        <v>566100</v>
      </c>
      <c r="E25" s="16"/>
      <c r="F25" s="16"/>
      <c r="G25" s="16"/>
      <c r="H25" s="16"/>
      <c r="I25" s="16"/>
      <c r="J25" s="16"/>
      <c r="K25" s="80">
        <v>111</v>
      </c>
      <c r="L25" s="80">
        <v>566100</v>
      </c>
      <c r="M25" s="16"/>
      <c r="N25" s="16"/>
      <c r="O25" s="16"/>
      <c r="P25" s="16"/>
      <c r="Q25" s="35"/>
    </row>
    <row r="26" spans="1:17" s="13" customFormat="1" ht="25.15" customHeight="1" x14ac:dyDescent="0.3">
      <c r="A26" s="105"/>
      <c r="B26" s="14" t="s">
        <v>104</v>
      </c>
      <c r="C26" s="15">
        <f t="shared" si="0"/>
        <v>0</v>
      </c>
      <c r="D26" s="34">
        <f t="shared" si="1"/>
        <v>0</v>
      </c>
      <c r="E26" s="16"/>
      <c r="F26" s="16"/>
      <c r="G26" s="16"/>
      <c r="H26" s="16"/>
      <c r="I26" s="16"/>
      <c r="J26" s="16"/>
      <c r="K26" s="16"/>
      <c r="L26" s="16"/>
      <c r="M26" s="16"/>
      <c r="N26" s="16"/>
      <c r="O26" s="16"/>
      <c r="P26" s="16"/>
      <c r="Q26" s="35"/>
    </row>
    <row r="27" spans="1:17" ht="29.45" customHeight="1" x14ac:dyDescent="0.3">
      <c r="A27" s="105"/>
      <c r="B27" s="14" t="s">
        <v>126</v>
      </c>
      <c r="C27" s="15">
        <f t="shared" si="0"/>
        <v>0</v>
      </c>
      <c r="D27" s="34">
        <f t="shared" si="1"/>
        <v>0</v>
      </c>
      <c r="E27" s="16"/>
      <c r="F27" s="16"/>
      <c r="G27" s="16"/>
      <c r="H27" s="16"/>
      <c r="I27" s="16"/>
      <c r="J27" s="16"/>
      <c r="K27" s="16"/>
      <c r="L27" s="16"/>
      <c r="M27" s="16"/>
      <c r="N27" s="16"/>
      <c r="O27" s="16"/>
      <c r="P27" s="16"/>
      <c r="Q27" s="35"/>
    </row>
    <row r="28" spans="1:17" ht="27" customHeight="1" x14ac:dyDescent="0.3">
      <c r="A28" s="105"/>
      <c r="B28" s="14" t="s">
        <v>75</v>
      </c>
      <c r="C28" s="15">
        <f t="shared" si="0"/>
        <v>0</v>
      </c>
      <c r="D28" s="34">
        <f t="shared" si="1"/>
        <v>0</v>
      </c>
      <c r="E28" s="16"/>
      <c r="F28" s="16"/>
      <c r="G28" s="16"/>
      <c r="H28" s="16"/>
      <c r="I28" s="16"/>
      <c r="J28" s="16"/>
      <c r="K28" s="16"/>
      <c r="L28" s="16"/>
      <c r="M28" s="16"/>
      <c r="N28" s="16"/>
      <c r="O28" s="16"/>
      <c r="P28" s="16"/>
      <c r="Q28" s="35"/>
    </row>
    <row r="29" spans="1:17" x14ac:dyDescent="0.3">
      <c r="A29" s="105"/>
      <c r="B29" s="14" t="s">
        <v>132</v>
      </c>
      <c r="C29" s="15">
        <f t="shared" si="0"/>
        <v>4</v>
      </c>
      <c r="D29" s="34">
        <f t="shared" si="1"/>
        <v>23640</v>
      </c>
      <c r="E29" s="16"/>
      <c r="F29" s="16"/>
      <c r="G29" s="80">
        <v>4</v>
      </c>
      <c r="H29" s="80">
        <v>23640</v>
      </c>
      <c r="I29" s="16"/>
      <c r="J29" s="16"/>
      <c r="K29" s="16"/>
      <c r="L29" s="16"/>
      <c r="M29" s="16"/>
      <c r="N29" s="16"/>
      <c r="O29" s="16"/>
      <c r="P29" s="16"/>
      <c r="Q29" s="35"/>
    </row>
    <row r="30" spans="1:17" x14ac:dyDescent="0.3">
      <c r="A30" s="105"/>
      <c r="B30" s="14" t="s">
        <v>133</v>
      </c>
      <c r="C30" s="15">
        <f t="shared" si="0"/>
        <v>4</v>
      </c>
      <c r="D30" s="34">
        <f t="shared" si="1"/>
        <v>37600</v>
      </c>
      <c r="E30" s="16"/>
      <c r="F30" s="16"/>
      <c r="G30" s="80">
        <v>4</v>
      </c>
      <c r="H30" s="80">
        <v>37600</v>
      </c>
      <c r="I30" s="16"/>
      <c r="J30" s="16"/>
      <c r="K30" s="16"/>
      <c r="L30" s="16"/>
      <c r="M30" s="16"/>
      <c r="N30" s="16"/>
      <c r="O30" s="16"/>
      <c r="P30" s="16"/>
      <c r="Q30" s="35"/>
    </row>
    <row r="31" spans="1:17" x14ac:dyDescent="0.3">
      <c r="A31" s="105"/>
      <c r="B31" s="14" t="s">
        <v>120</v>
      </c>
      <c r="C31" s="15">
        <f t="shared" si="0"/>
        <v>0</v>
      </c>
      <c r="D31" s="34">
        <f t="shared" si="1"/>
        <v>0</v>
      </c>
      <c r="E31" s="16"/>
      <c r="F31" s="16"/>
      <c r="G31" s="16"/>
      <c r="H31" s="16"/>
      <c r="I31" s="16"/>
      <c r="J31" s="16"/>
      <c r="K31" s="16"/>
      <c r="L31" s="16"/>
      <c r="M31" s="16"/>
      <c r="N31" s="16"/>
      <c r="O31" s="16"/>
      <c r="P31" s="16"/>
      <c r="Q31" s="35"/>
    </row>
    <row r="32" spans="1:17" x14ac:dyDescent="0.3">
      <c r="A32" s="105"/>
      <c r="B32" s="14" t="s">
        <v>119</v>
      </c>
      <c r="C32" s="15">
        <f t="shared" si="0"/>
        <v>0</v>
      </c>
      <c r="D32" s="34">
        <f t="shared" si="1"/>
        <v>0</v>
      </c>
      <c r="E32" s="16"/>
      <c r="F32" s="16"/>
      <c r="G32" s="16"/>
      <c r="H32" s="16"/>
      <c r="I32" s="16"/>
      <c r="J32" s="16"/>
      <c r="K32" s="16"/>
      <c r="L32" s="16"/>
      <c r="M32" s="16"/>
      <c r="N32" s="16"/>
      <c r="O32" s="16"/>
      <c r="P32" s="16"/>
      <c r="Q32" s="35"/>
    </row>
    <row r="33" spans="1:29" x14ac:dyDescent="0.3">
      <c r="A33" s="105"/>
      <c r="B33" s="14" t="s">
        <v>112</v>
      </c>
      <c r="C33" s="15">
        <f t="shared" si="0"/>
        <v>0</v>
      </c>
      <c r="D33" s="34">
        <f t="shared" si="1"/>
        <v>0</v>
      </c>
      <c r="E33" s="16"/>
      <c r="F33" s="16"/>
      <c r="G33" s="16"/>
      <c r="H33" s="16"/>
      <c r="I33" s="16"/>
      <c r="J33" s="16"/>
      <c r="K33" s="16"/>
      <c r="L33" s="16"/>
      <c r="M33" s="16"/>
      <c r="N33" s="16"/>
      <c r="O33" s="16"/>
      <c r="P33" s="16"/>
      <c r="Q33" s="35"/>
    </row>
    <row r="34" spans="1:29" x14ac:dyDescent="0.3">
      <c r="A34" s="105"/>
      <c r="B34" s="14" t="s">
        <v>116</v>
      </c>
      <c r="C34" s="15">
        <f t="shared" si="0"/>
        <v>0</v>
      </c>
      <c r="D34" s="34">
        <f t="shared" si="1"/>
        <v>0</v>
      </c>
      <c r="E34" s="16"/>
      <c r="F34" s="16"/>
      <c r="G34" s="16"/>
      <c r="H34" s="16"/>
      <c r="I34" s="16"/>
      <c r="J34" s="16"/>
      <c r="K34" s="16"/>
      <c r="L34" s="16"/>
      <c r="M34" s="16"/>
      <c r="N34" s="16"/>
      <c r="O34" s="16"/>
      <c r="P34" s="16"/>
      <c r="Q34" s="35"/>
    </row>
    <row r="35" spans="1:29" x14ac:dyDescent="0.3">
      <c r="A35" s="105"/>
      <c r="B35" s="14" t="s">
        <v>93</v>
      </c>
      <c r="C35" s="15">
        <f t="shared" si="0"/>
        <v>0</v>
      </c>
      <c r="D35" s="34">
        <f t="shared" si="1"/>
        <v>0</v>
      </c>
      <c r="E35" s="16"/>
      <c r="F35" s="16"/>
      <c r="G35" s="16"/>
      <c r="H35" s="16"/>
      <c r="I35" s="16"/>
      <c r="J35" s="16"/>
      <c r="K35" s="16"/>
      <c r="L35" s="16"/>
      <c r="M35" s="16"/>
      <c r="N35" s="16"/>
      <c r="O35" s="16"/>
      <c r="P35" s="16"/>
      <c r="Q35" s="35"/>
    </row>
    <row r="36" spans="1:29" x14ac:dyDescent="0.3">
      <c r="A36" s="105"/>
      <c r="B36" s="14" t="s">
        <v>122</v>
      </c>
      <c r="C36" s="15">
        <f t="shared" si="0"/>
        <v>0</v>
      </c>
      <c r="D36" s="34">
        <f t="shared" si="1"/>
        <v>0</v>
      </c>
      <c r="E36" s="16"/>
      <c r="F36" s="16"/>
      <c r="G36" s="16"/>
      <c r="H36" s="16"/>
      <c r="I36" s="16"/>
      <c r="J36" s="16"/>
      <c r="K36" s="16"/>
      <c r="L36" s="16"/>
      <c r="M36" s="16"/>
      <c r="N36" s="16"/>
      <c r="O36" s="16"/>
      <c r="P36" s="16"/>
      <c r="Q36" s="35"/>
      <c r="AC36" s="41"/>
    </row>
    <row r="37" spans="1:29" x14ac:dyDescent="0.3">
      <c r="A37" s="105"/>
      <c r="B37" s="14" t="s">
        <v>92</v>
      </c>
      <c r="C37" s="15">
        <f t="shared" si="0"/>
        <v>0</v>
      </c>
      <c r="D37" s="34">
        <f t="shared" si="1"/>
        <v>0</v>
      </c>
      <c r="E37" s="16"/>
      <c r="F37" s="16"/>
      <c r="G37" s="16"/>
      <c r="H37" s="16"/>
      <c r="I37" s="16"/>
      <c r="J37" s="16"/>
      <c r="K37" s="16"/>
      <c r="L37" s="16"/>
      <c r="M37" s="16"/>
      <c r="N37" s="16"/>
      <c r="O37" s="16"/>
      <c r="P37" s="16"/>
      <c r="Q37" s="35"/>
      <c r="U37" s="41"/>
    </row>
    <row r="38" spans="1:29" x14ac:dyDescent="0.3">
      <c r="A38" s="105"/>
      <c r="B38" s="14" t="s">
        <v>108</v>
      </c>
      <c r="C38" s="15">
        <f t="shared" si="0"/>
        <v>0</v>
      </c>
      <c r="D38" s="34">
        <f t="shared" si="1"/>
        <v>0</v>
      </c>
      <c r="E38" s="16"/>
      <c r="F38" s="16"/>
      <c r="G38" s="16"/>
      <c r="H38" s="16"/>
      <c r="I38" s="16"/>
      <c r="J38" s="16"/>
      <c r="K38" s="16"/>
      <c r="L38" s="16"/>
      <c r="M38" s="16"/>
      <c r="N38" s="16"/>
      <c r="O38" s="16"/>
      <c r="P38" s="16"/>
      <c r="Q38" s="35"/>
    </row>
    <row r="39" spans="1:29" x14ac:dyDescent="0.3">
      <c r="A39" s="105"/>
      <c r="B39" s="14" t="s">
        <v>121</v>
      </c>
      <c r="C39" s="15">
        <f t="shared" si="0"/>
        <v>0</v>
      </c>
      <c r="D39" s="34">
        <f t="shared" si="1"/>
        <v>0</v>
      </c>
      <c r="E39" s="16"/>
      <c r="F39" s="16"/>
      <c r="G39" s="16"/>
      <c r="H39" s="16"/>
      <c r="I39" s="16"/>
      <c r="J39" s="16"/>
      <c r="K39" s="16"/>
      <c r="L39" s="16"/>
      <c r="M39" s="16"/>
      <c r="N39" s="16"/>
      <c r="O39" s="16"/>
      <c r="P39" s="16"/>
      <c r="Q39" s="35"/>
    </row>
    <row r="40" spans="1:29" x14ac:dyDescent="0.3">
      <c r="A40" s="105"/>
      <c r="B40" s="14" t="s">
        <v>88</v>
      </c>
      <c r="C40" s="15">
        <f t="shared" si="0"/>
        <v>0</v>
      </c>
      <c r="D40" s="34">
        <f t="shared" si="1"/>
        <v>0</v>
      </c>
      <c r="E40" s="16"/>
      <c r="F40" s="16"/>
      <c r="G40" s="16"/>
      <c r="H40" s="16"/>
      <c r="I40" s="16"/>
      <c r="J40" s="16"/>
      <c r="K40" s="16"/>
      <c r="L40" s="16"/>
      <c r="M40" s="16"/>
      <c r="N40" s="16"/>
      <c r="O40" s="16"/>
      <c r="P40" s="16"/>
      <c r="Q40" s="35"/>
    </row>
    <row r="41" spans="1:29" x14ac:dyDescent="0.3">
      <c r="A41" s="105"/>
      <c r="B41" s="14" t="s">
        <v>123</v>
      </c>
      <c r="C41" s="15">
        <f t="shared" si="0"/>
        <v>0</v>
      </c>
      <c r="D41" s="34">
        <f t="shared" si="1"/>
        <v>0</v>
      </c>
      <c r="E41" s="16"/>
      <c r="F41" s="16"/>
      <c r="G41" s="16"/>
      <c r="H41" s="16"/>
      <c r="I41" s="16"/>
      <c r="J41" s="16"/>
      <c r="K41" s="16"/>
      <c r="L41" s="16"/>
      <c r="M41" s="16"/>
      <c r="N41" s="16"/>
      <c r="O41" s="16"/>
      <c r="P41" s="16"/>
      <c r="Q41" s="35"/>
    </row>
    <row r="42" spans="1:29" x14ac:dyDescent="0.3">
      <c r="A42" s="105"/>
      <c r="B42" s="14" t="s">
        <v>124</v>
      </c>
      <c r="C42" s="15">
        <f t="shared" si="0"/>
        <v>0</v>
      </c>
      <c r="D42" s="34">
        <f t="shared" si="1"/>
        <v>0</v>
      </c>
      <c r="E42" s="16"/>
      <c r="F42" s="16"/>
      <c r="G42" s="16"/>
      <c r="H42" s="16"/>
      <c r="I42" s="16"/>
      <c r="J42" s="16"/>
      <c r="K42" s="16"/>
      <c r="L42" s="16"/>
      <c r="M42" s="16"/>
      <c r="N42" s="16"/>
      <c r="O42" s="16"/>
      <c r="P42" s="16"/>
      <c r="Q42" s="35"/>
    </row>
    <row r="43" spans="1:29" x14ac:dyDescent="0.3">
      <c r="A43" s="105"/>
      <c r="B43" s="14" t="s">
        <v>76</v>
      </c>
      <c r="C43" s="15">
        <f t="shared" si="0"/>
        <v>0</v>
      </c>
      <c r="D43" s="34">
        <f t="shared" si="1"/>
        <v>0</v>
      </c>
      <c r="E43" s="49"/>
      <c r="F43" s="69"/>
      <c r="G43" s="49"/>
      <c r="H43" s="69"/>
      <c r="I43" s="49"/>
      <c r="J43" s="69"/>
      <c r="K43" s="49"/>
      <c r="L43" s="69"/>
      <c r="M43" s="49"/>
      <c r="N43" s="69"/>
      <c r="O43" s="49"/>
      <c r="P43" s="69"/>
      <c r="Q43" s="36"/>
    </row>
    <row r="44" spans="1:29" x14ac:dyDescent="0.3">
      <c r="A44" s="105"/>
      <c r="B44" s="14" t="s">
        <v>87</v>
      </c>
      <c r="C44" s="15">
        <f t="shared" si="0"/>
        <v>0</v>
      </c>
      <c r="D44" s="34">
        <f t="shared" si="1"/>
        <v>0</v>
      </c>
      <c r="E44" s="49"/>
      <c r="F44" s="69"/>
      <c r="G44" s="49"/>
      <c r="H44" s="69"/>
      <c r="I44" s="49"/>
      <c r="J44" s="69"/>
      <c r="K44" s="49"/>
      <c r="L44" s="69"/>
      <c r="M44" s="49"/>
      <c r="N44" s="69"/>
      <c r="O44" s="49"/>
      <c r="P44" s="69"/>
      <c r="Q44" s="36"/>
    </row>
    <row r="45" spans="1:29" x14ac:dyDescent="0.3">
      <c r="A45" s="105"/>
      <c r="B45" s="14" t="s">
        <v>103</v>
      </c>
      <c r="C45" s="15">
        <f t="shared" si="0"/>
        <v>0</v>
      </c>
      <c r="D45" s="34">
        <f t="shared" si="1"/>
        <v>0</v>
      </c>
      <c r="E45" s="49"/>
      <c r="F45" s="69"/>
      <c r="G45" s="49"/>
      <c r="H45" s="69"/>
      <c r="I45" s="49"/>
      <c r="J45" s="69"/>
      <c r="K45" s="49"/>
      <c r="L45" s="69"/>
      <c r="M45" s="49"/>
      <c r="N45" s="69"/>
      <c r="O45" s="49"/>
      <c r="P45" s="69"/>
      <c r="Q45" s="22"/>
      <c r="R45" s="59"/>
      <c r="U45" s="53"/>
    </row>
    <row r="46" spans="1:29" x14ac:dyDescent="0.3">
      <c r="A46" s="105"/>
      <c r="B46" s="14" t="s">
        <v>94</v>
      </c>
      <c r="C46" s="15">
        <f t="shared" si="0"/>
        <v>0</v>
      </c>
      <c r="D46" s="34">
        <f t="shared" si="1"/>
        <v>0</v>
      </c>
      <c r="E46" s="49"/>
      <c r="F46" s="69"/>
      <c r="G46" s="49"/>
      <c r="H46" s="69"/>
      <c r="I46" s="49"/>
      <c r="J46" s="69"/>
      <c r="K46" s="49"/>
      <c r="L46" s="69"/>
      <c r="M46" s="49"/>
      <c r="N46" s="69"/>
      <c r="O46" s="49"/>
      <c r="P46" s="69"/>
      <c r="Q46" s="22"/>
      <c r="R46" s="59"/>
    </row>
    <row r="47" spans="1:29" x14ac:dyDescent="0.3">
      <c r="A47" s="105"/>
      <c r="B47" s="14" t="s">
        <v>105</v>
      </c>
      <c r="C47" s="15">
        <f t="shared" si="0"/>
        <v>0</v>
      </c>
      <c r="D47" s="34">
        <f t="shared" si="1"/>
        <v>0</v>
      </c>
      <c r="E47" s="49"/>
      <c r="F47" s="69"/>
      <c r="G47" s="49"/>
      <c r="H47" s="69"/>
      <c r="I47" s="49"/>
      <c r="J47" s="69"/>
      <c r="K47" s="49"/>
      <c r="L47" s="69"/>
      <c r="M47" s="49"/>
      <c r="N47" s="69"/>
      <c r="O47" s="49"/>
      <c r="P47" s="69"/>
      <c r="Q47" s="36"/>
      <c r="R47" s="59"/>
    </row>
    <row r="48" spans="1:29" x14ac:dyDescent="0.3">
      <c r="A48" s="105"/>
      <c r="B48" s="14" t="s">
        <v>114</v>
      </c>
      <c r="C48" s="15">
        <f t="shared" si="0"/>
        <v>0</v>
      </c>
      <c r="D48" s="34">
        <f t="shared" si="1"/>
        <v>0</v>
      </c>
      <c r="E48" s="49"/>
      <c r="F48" s="69"/>
      <c r="G48" s="49"/>
      <c r="H48" s="69"/>
      <c r="I48" s="49"/>
      <c r="J48" s="69"/>
      <c r="K48" s="49"/>
      <c r="L48" s="69"/>
      <c r="M48" s="49"/>
      <c r="N48" s="69"/>
      <c r="O48" s="49"/>
      <c r="P48" s="69"/>
      <c r="Q48" s="36"/>
      <c r="R48" s="59"/>
    </row>
    <row r="49" spans="1:18" x14ac:dyDescent="0.3">
      <c r="A49" s="105"/>
      <c r="B49" s="14" t="s">
        <v>95</v>
      </c>
      <c r="C49" s="15">
        <f t="shared" si="0"/>
        <v>0</v>
      </c>
      <c r="D49" s="34">
        <f t="shared" si="1"/>
        <v>0</v>
      </c>
      <c r="E49" s="49"/>
      <c r="F49" s="69"/>
      <c r="G49" s="49"/>
      <c r="H49" s="69"/>
      <c r="I49" s="49"/>
      <c r="J49" s="69"/>
      <c r="K49" s="49"/>
      <c r="L49" s="69"/>
      <c r="M49" s="49"/>
      <c r="N49" s="69"/>
      <c r="O49" s="49"/>
      <c r="P49" s="69"/>
      <c r="Q49" s="36"/>
      <c r="R49" s="59"/>
    </row>
    <row r="50" spans="1:18" x14ac:dyDescent="0.3">
      <c r="A50" s="105"/>
      <c r="B50" s="14" t="s">
        <v>127</v>
      </c>
      <c r="C50" s="15">
        <f t="shared" si="0"/>
        <v>0</v>
      </c>
      <c r="D50" s="34">
        <f t="shared" si="1"/>
        <v>0</v>
      </c>
      <c r="E50" s="49"/>
      <c r="F50" s="69"/>
      <c r="G50" s="49"/>
      <c r="H50" s="69"/>
      <c r="I50" s="49"/>
      <c r="J50" s="69"/>
      <c r="K50" s="49"/>
      <c r="L50" s="69"/>
      <c r="M50" s="49"/>
      <c r="N50" s="69"/>
      <c r="O50" s="49"/>
      <c r="P50" s="69"/>
      <c r="Q50" s="36"/>
      <c r="R50" s="59"/>
    </row>
    <row r="51" spans="1:18" x14ac:dyDescent="0.3">
      <c r="A51" s="105"/>
      <c r="B51" s="14" t="s">
        <v>96</v>
      </c>
      <c r="C51" s="15">
        <f t="shared" si="0"/>
        <v>0</v>
      </c>
      <c r="D51" s="34">
        <f t="shared" si="1"/>
        <v>0</v>
      </c>
      <c r="E51" s="49"/>
      <c r="F51" s="69"/>
      <c r="G51" s="49"/>
      <c r="H51" s="69"/>
      <c r="I51" s="49"/>
      <c r="J51" s="69"/>
      <c r="K51" s="49"/>
      <c r="L51" s="69"/>
      <c r="M51" s="49"/>
      <c r="N51" s="69"/>
      <c r="O51" s="49"/>
      <c r="P51" s="69"/>
      <c r="Q51" s="36"/>
      <c r="R51" s="59"/>
    </row>
    <row r="52" spans="1:18" x14ac:dyDescent="0.3">
      <c r="A52" s="105"/>
      <c r="B52" s="14" t="s">
        <v>109</v>
      </c>
      <c r="C52" s="15">
        <f t="shared" si="0"/>
        <v>0</v>
      </c>
      <c r="D52" s="34">
        <f t="shared" si="1"/>
        <v>0</v>
      </c>
      <c r="E52" s="49"/>
      <c r="F52" s="69"/>
      <c r="G52" s="49"/>
      <c r="H52" s="69"/>
      <c r="I52" s="49"/>
      <c r="J52" s="69"/>
      <c r="K52" s="49"/>
      <c r="L52" s="69"/>
      <c r="M52" s="49"/>
      <c r="N52" s="69"/>
      <c r="O52" s="49"/>
      <c r="P52" s="69"/>
      <c r="Q52" s="36"/>
      <c r="R52" s="59"/>
    </row>
    <row r="53" spans="1:18" x14ac:dyDescent="0.3">
      <c r="A53" s="105"/>
      <c r="B53" s="14" t="s">
        <v>110</v>
      </c>
      <c r="C53" s="15">
        <f t="shared" si="0"/>
        <v>0</v>
      </c>
      <c r="D53" s="34">
        <f t="shared" si="1"/>
        <v>0</v>
      </c>
      <c r="E53" s="49"/>
      <c r="F53" s="69"/>
      <c r="G53" s="49"/>
      <c r="H53" s="69"/>
      <c r="I53" s="49"/>
      <c r="J53" s="69"/>
      <c r="K53" s="49"/>
      <c r="L53" s="69"/>
      <c r="M53" s="49"/>
      <c r="N53" s="69"/>
      <c r="O53" s="49"/>
      <c r="P53" s="69"/>
      <c r="Q53" s="36"/>
    </row>
    <row r="54" spans="1:18" x14ac:dyDescent="0.3">
      <c r="A54" s="110" t="s">
        <v>77</v>
      </c>
      <c r="B54" s="14" t="s">
        <v>86</v>
      </c>
      <c r="C54" s="15">
        <f t="shared" si="0"/>
        <v>0</v>
      </c>
      <c r="D54" s="34">
        <f t="shared" si="1"/>
        <v>0</v>
      </c>
      <c r="E54" s="49"/>
      <c r="F54" s="69"/>
      <c r="G54" s="49"/>
      <c r="H54" s="69"/>
      <c r="I54" s="49"/>
      <c r="J54" s="69"/>
      <c r="K54" s="49"/>
      <c r="L54" s="69"/>
      <c r="M54" s="49"/>
      <c r="N54" s="69"/>
      <c r="O54" s="49"/>
      <c r="P54" s="69"/>
      <c r="Q54" s="36"/>
    </row>
    <row r="55" spans="1:18" x14ac:dyDescent="0.3">
      <c r="A55" s="111"/>
      <c r="B55" s="14" t="s">
        <v>89</v>
      </c>
      <c r="C55" s="15">
        <f t="shared" si="0"/>
        <v>0</v>
      </c>
      <c r="D55" s="34">
        <f t="shared" si="1"/>
        <v>0</v>
      </c>
      <c r="E55" s="49"/>
      <c r="F55" s="69"/>
      <c r="G55" s="49"/>
      <c r="H55" s="69"/>
      <c r="I55" s="49"/>
      <c r="J55" s="69"/>
      <c r="K55" s="49"/>
      <c r="L55" s="69"/>
      <c r="M55" s="49"/>
      <c r="N55" s="69"/>
      <c r="O55" s="49"/>
      <c r="P55" s="69"/>
      <c r="Q55" s="36"/>
    </row>
    <row r="56" spans="1:18" x14ac:dyDescent="0.3">
      <c r="A56" s="111"/>
      <c r="B56" s="14" t="s">
        <v>83</v>
      </c>
      <c r="C56" s="15">
        <f t="shared" si="0"/>
        <v>0</v>
      </c>
      <c r="D56" s="34">
        <f t="shared" si="1"/>
        <v>0</v>
      </c>
      <c r="E56" s="49"/>
      <c r="F56" s="69"/>
      <c r="G56" s="49"/>
      <c r="H56" s="69"/>
      <c r="I56" s="49"/>
      <c r="J56" s="69"/>
      <c r="K56" s="49"/>
      <c r="L56" s="69"/>
      <c r="M56" s="49"/>
      <c r="N56" s="69"/>
      <c r="O56" s="49"/>
      <c r="P56" s="69"/>
      <c r="Q56" s="36"/>
    </row>
    <row r="57" spans="1:18" x14ac:dyDescent="0.3">
      <c r="A57" s="111"/>
      <c r="B57" s="14" t="s">
        <v>129</v>
      </c>
      <c r="C57" s="15">
        <f t="shared" si="0"/>
        <v>90</v>
      </c>
      <c r="D57" s="34">
        <f t="shared" si="1"/>
        <v>2430000</v>
      </c>
      <c r="E57" s="49">
        <v>90</v>
      </c>
      <c r="F57" s="79">
        <v>2430000</v>
      </c>
      <c r="G57" s="49"/>
      <c r="H57" s="69"/>
      <c r="I57" s="49"/>
      <c r="J57" s="69"/>
      <c r="K57" s="49"/>
      <c r="L57" s="69"/>
      <c r="M57" s="49"/>
      <c r="N57" s="69"/>
      <c r="O57" s="49"/>
      <c r="P57" s="69"/>
      <c r="Q57" s="36"/>
    </row>
    <row r="58" spans="1:18" x14ac:dyDescent="0.3">
      <c r="A58" s="112"/>
      <c r="B58" s="14" t="s">
        <v>90</v>
      </c>
      <c r="C58" s="15">
        <f>E58+G58+I58+K58+M58+O58</f>
        <v>0</v>
      </c>
      <c r="D58" s="34">
        <f>F58+H58+J58+L58+N58+P58</f>
        <v>0</v>
      </c>
      <c r="E58" s="22"/>
      <c r="F58" s="29"/>
      <c r="G58" s="22"/>
      <c r="H58" s="29"/>
      <c r="I58" s="22"/>
      <c r="J58" s="29"/>
      <c r="K58" s="22"/>
      <c r="L58" s="29"/>
      <c r="M58" s="22"/>
      <c r="N58" s="29"/>
      <c r="O58" s="22"/>
      <c r="P58" s="29"/>
      <c r="Q58" s="36"/>
    </row>
    <row r="59" spans="1:18" ht="17.25" x14ac:dyDescent="0.3">
      <c r="A59" s="109" t="s">
        <v>78</v>
      </c>
      <c r="B59" s="109"/>
      <c r="C59" s="37"/>
      <c r="D59" s="40">
        <f>SUM(D5:D58)</f>
        <v>5970340</v>
      </c>
      <c r="E59" s="38">
        <f t="shared" ref="E59:H59" si="2">SUM(E5:E58)</f>
        <v>90</v>
      </c>
      <c r="F59" s="38">
        <f t="shared" si="2"/>
        <v>2430000</v>
      </c>
      <c r="G59" s="38">
        <f t="shared" si="2"/>
        <v>8</v>
      </c>
      <c r="H59" s="38">
        <f t="shared" si="2"/>
        <v>61240</v>
      </c>
      <c r="I59" s="38">
        <f t="shared" ref="I59:J59" si="3">SUM(I5:I58)</f>
        <v>2</v>
      </c>
      <c r="J59" s="38">
        <f t="shared" si="3"/>
        <v>187000</v>
      </c>
      <c r="K59" s="38">
        <f t="shared" ref="K59:L59" si="4">SUM(K5:K58)</f>
        <v>111</v>
      </c>
      <c r="L59" s="38">
        <f t="shared" si="4"/>
        <v>566100</v>
      </c>
      <c r="M59" s="38">
        <f t="shared" ref="M59:P59" si="5">SUM(M5:M58)</f>
        <v>114</v>
      </c>
      <c r="N59" s="38">
        <f t="shared" si="5"/>
        <v>2622000</v>
      </c>
      <c r="O59" s="38">
        <f t="shared" si="5"/>
        <v>1</v>
      </c>
      <c r="P59" s="38">
        <f t="shared" si="5"/>
        <v>104000</v>
      </c>
      <c r="Q59" s="39"/>
    </row>
    <row r="60" spans="1:18" ht="76.5" customHeight="1" x14ac:dyDescent="0.3">
      <c r="A60" s="108"/>
      <c r="B60" s="108"/>
      <c r="C60" s="49" t="s">
        <v>79</v>
      </c>
      <c r="D60" s="50">
        <f>F59+H59+J59+L59+N59+P59</f>
        <v>5970340</v>
      </c>
      <c r="E60" s="113" t="s">
        <v>130</v>
      </c>
      <c r="F60" s="114"/>
      <c r="G60" s="99" t="s">
        <v>134</v>
      </c>
      <c r="H60" s="100"/>
      <c r="I60" s="99" t="s">
        <v>144</v>
      </c>
      <c r="J60" s="100"/>
      <c r="K60" s="99" t="s">
        <v>150</v>
      </c>
      <c r="L60" s="100"/>
      <c r="M60" s="116" t="s">
        <v>151</v>
      </c>
      <c r="N60" s="117"/>
      <c r="O60" s="99" t="s">
        <v>149</v>
      </c>
      <c r="P60" s="100"/>
      <c r="Q60" s="43"/>
    </row>
    <row r="61" spans="1:18" x14ac:dyDescent="0.3">
      <c r="B61" s="42"/>
      <c r="C61" s="22"/>
      <c r="D61" s="65"/>
    </row>
    <row r="62" spans="1:18" x14ac:dyDescent="0.3">
      <c r="B62" s="3"/>
      <c r="C62" s="22" t="s">
        <v>91</v>
      </c>
      <c r="D62" s="66">
        <v>40000000</v>
      </c>
      <c r="E62" s="71"/>
      <c r="F62" s="71"/>
      <c r="G62" s="71"/>
      <c r="H62" s="71"/>
      <c r="I62" s="71"/>
      <c r="J62" s="71"/>
      <c r="K62" s="71"/>
      <c r="L62" s="71"/>
      <c r="M62" s="71"/>
      <c r="N62" s="71"/>
      <c r="O62" s="71"/>
      <c r="P62" s="71"/>
      <c r="Q62" s="71"/>
    </row>
    <row r="63" spans="1:18" x14ac:dyDescent="0.3">
      <c r="B63" s="3"/>
      <c r="C63" s="22" t="s">
        <v>115</v>
      </c>
      <c r="D63" s="66"/>
      <c r="E63" s="71"/>
      <c r="F63" s="71"/>
      <c r="G63" s="71"/>
      <c r="H63" s="70"/>
      <c r="I63" s="71"/>
      <c r="J63" s="70"/>
      <c r="K63" s="71"/>
      <c r="L63" s="70"/>
      <c r="M63" s="71"/>
      <c r="N63" s="70"/>
      <c r="O63" s="71"/>
      <c r="P63" s="70"/>
      <c r="Q63" s="71"/>
    </row>
    <row r="64" spans="1:18" x14ac:dyDescent="0.3">
      <c r="C64" s="22" t="s">
        <v>100</v>
      </c>
      <c r="D64" s="66">
        <f>D62-D59</f>
        <v>34029660</v>
      </c>
      <c r="E64" s="71"/>
      <c r="F64" s="71"/>
      <c r="G64" s="71"/>
      <c r="H64" s="71"/>
      <c r="I64" s="71"/>
      <c r="J64" s="71"/>
      <c r="K64" s="71"/>
      <c r="L64" s="71"/>
      <c r="M64" s="71"/>
      <c r="N64" s="71"/>
      <c r="O64" s="71"/>
      <c r="P64" s="71"/>
      <c r="Q64" s="71"/>
    </row>
    <row r="65" spans="4:4" x14ac:dyDescent="0.3">
      <c r="D65" s="53"/>
    </row>
    <row r="66" spans="4:4" x14ac:dyDescent="0.3">
      <c r="D66" s="53"/>
    </row>
  </sheetData>
  <mergeCells count="23">
    <mergeCell ref="K2:P2"/>
    <mergeCell ref="I60:J60"/>
    <mergeCell ref="G2:J2"/>
    <mergeCell ref="K3:L3"/>
    <mergeCell ref="K60:L60"/>
    <mergeCell ref="M3:N3"/>
    <mergeCell ref="M60:N60"/>
    <mergeCell ref="Q2:Q4"/>
    <mergeCell ref="G60:H60"/>
    <mergeCell ref="A2:B4"/>
    <mergeCell ref="C2:D3"/>
    <mergeCell ref="G3:H3"/>
    <mergeCell ref="A21:A53"/>
    <mergeCell ref="E2:F2"/>
    <mergeCell ref="A60:B60"/>
    <mergeCell ref="A5:A20"/>
    <mergeCell ref="A59:B59"/>
    <mergeCell ref="A54:A58"/>
    <mergeCell ref="E3:F3"/>
    <mergeCell ref="E60:F60"/>
    <mergeCell ref="I3:J3"/>
    <mergeCell ref="O3:P3"/>
    <mergeCell ref="O60:P60"/>
  </mergeCells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월별현황</vt:lpstr>
      <vt:lpstr>1.~8.항목별 사용 세부내역</vt:lpstr>
      <vt:lpstr>3. 개인보호구 및 용품구매 세부내역</vt:lpstr>
    </vt:vector>
  </TitlesOfParts>
  <Company>KT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류재하대구 현장지원팀</cp:lastModifiedBy>
  <dcterms:created xsi:type="dcterms:W3CDTF">2023-08-21T02:17:51Z</dcterms:created>
  <dcterms:modified xsi:type="dcterms:W3CDTF">2026-05-11T06:52:26Z</dcterms:modified>
</cp:coreProperties>
</file>