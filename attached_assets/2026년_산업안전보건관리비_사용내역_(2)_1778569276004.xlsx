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36561E14-DAD3-499E-8329-4E1803C98461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월별현황" sheetId="1" r:id="rId1"/>
    <sheet name="1.~8.항목별 사용 세부내역" sheetId="3" r:id="rId2"/>
    <sheet name="3. 개인보호구 및 안전장구 구입비 세부내역" sheetId="2" r:id="rId3"/>
  </sheets>
  <definedNames>
    <definedName name="_xlnm._FilterDatabase">'3. 개인보호구 및 안전장구 구입비 세부내역'!$A$4:$S$60</definedName>
  </definedNames>
  <calcPr calcId="191029"/>
</workbook>
</file>

<file path=xl/calcChain.xml><?xml version="1.0" encoding="utf-8"?>
<calcChain xmlns="http://schemas.openxmlformats.org/spreadsheetml/2006/main">
  <c r="D59" i="2" l="1"/>
  <c r="F59" i="2"/>
  <c r="D60" i="2" s="1"/>
  <c r="E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O12" i="1"/>
  <c r="N12" i="1"/>
  <c r="M12" i="1"/>
  <c r="L12" i="1"/>
  <c r="K12" i="1"/>
  <c r="J12" i="1"/>
  <c r="I12" i="1"/>
  <c r="H12" i="1"/>
  <c r="G12" i="1"/>
  <c r="F12" i="1"/>
  <c r="C12" i="1" s="1"/>
  <c r="E12" i="1"/>
  <c r="D12" i="1"/>
  <c r="C11" i="1"/>
  <c r="C10" i="1"/>
  <c r="C9" i="1"/>
  <c r="C8" i="1"/>
  <c r="C7" i="1"/>
  <c r="C6" i="1"/>
  <c r="C5" i="1"/>
  <c r="C4" i="1"/>
  <c r="C3" i="1"/>
  <c r="D64" i="2" l="1"/>
</calcChain>
</file>

<file path=xl/sharedStrings.xml><?xml version="1.0" encoding="utf-8"?>
<sst xmlns="http://schemas.openxmlformats.org/spreadsheetml/2006/main" count="159" uniqueCount="113">
  <si>
    <t>■ 월별 사용내역</t>
  </si>
  <si>
    <t>본부</t>
  </si>
  <si>
    <t>항목</t>
  </si>
  <si>
    <t>합계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</si>
  <si>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</si>
  <si>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</si>
  <si>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</si>
  <si>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</si>
  <si>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</si>
  <si>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</si>
  <si>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</si>
  <si>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</si>
  <si>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</si>
  <si>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</si>
  <si>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</si>
  <si>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</si>
  <si>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대구본부</t>
  </si>
  <si>
    <t>1. 안전관리자 등 인건비 및 
   각종 업무수당 등</t>
  </si>
  <si>
    <t>2. 안전시설비 등</t>
  </si>
  <si>
    <t>3. 개인보호구 및 안전장구 구입비 등</t>
  </si>
  <si>
    <t>4. 안전진단비 등</t>
  </si>
  <si>
    <t>5. 안전보건교육비 및 행사비 등</t>
  </si>
  <si>
    <t>6. 근로자 건강관리비 등</t>
  </si>
  <si>
    <t>7. 건설재해예방 기술지도비</t>
  </si>
  <si>
    <t>8. 본사사용비</t>
  </si>
  <si>
    <t>9. 위험성평가 및 산보위 안건 비용</t>
  </si>
  <si>
    <t>■ 항목별 사용세부내역_지급일자 기준(지출결의서 기준 지급일자)</t>
  </si>
  <si>
    <t>구분</t>
  </si>
  <si>
    <t>세부항목</t>
  </si>
  <si>
    <t>비고</t>
  </si>
  <si>
    <t>지급금액</t>
  </si>
  <si>
    <t>지급일자</t>
  </si>
  <si>
    <t>안전관리자 대행료(VAT제외)</t>
  </si>
  <si>
    <t>보건관리자 대행료(VAT포함)</t>
  </si>
  <si>
    <t>SH등급 평가 갱신(VAT제외)</t>
  </si>
  <si>
    <t>ISO45001 사후심사(VAT제외)</t>
  </si>
  <si>
    <t>작업환경 측정(VAT포함)</t>
  </si>
  <si>
    <t>안전보건관리책임자</t>
  </si>
  <si>
    <t>관리감독자(VAT포함)</t>
  </si>
  <si>
    <t>근로자(VAT포함)</t>
  </si>
  <si>
    <t>법정필수교육</t>
  </si>
  <si>
    <t>관리감독자 집체교육</t>
  </si>
  <si>
    <t>안전관리 포상(재량보상)</t>
  </si>
  <si>
    <t>개인 건강검진(VAT포함)</t>
  </si>
  <si>
    <t>□ 2026년 보호구 및 안전용품 구매내역(대구본부)</t>
  </si>
  <si>
    <t>구매수량</t>
  </si>
  <si>
    <r>
      <t>비용(</t>
    </r>
    <r>
      <rPr>
        <b/>
        <sz val="11"/>
        <color rgb="FFFF0000"/>
        <rFont val="맑은 고딕"/>
        <family val="3"/>
        <charset val="129"/>
      </rPr>
      <t>vat제외</t>
    </r>
    <r>
      <rPr>
        <b/>
        <sz val="11"/>
        <color theme="1"/>
        <rFont val="맑은 고딕"/>
        <family val="3"/>
        <charset val="129"/>
      </rPr>
      <t>)</t>
    </r>
  </si>
  <si>
    <t>수량</t>
  </si>
  <si>
    <t>비용</t>
  </si>
  <si>
    <t>보호구</t>
  </si>
  <si>
    <t>안전모</t>
  </si>
  <si>
    <t>일반안전화</t>
  </si>
  <si>
    <t>입회용 안전모</t>
  </si>
  <si>
    <t>실내안전화</t>
  </si>
  <si>
    <t>방수장갑</t>
  </si>
  <si>
    <t>안전장갑</t>
  </si>
  <si>
    <t>신호수용 안전모</t>
  </si>
  <si>
    <t>통풍형 안전모</t>
  </si>
  <si>
    <t>안전화(4인치)</t>
  </si>
  <si>
    <t>보안경</t>
  </si>
  <si>
    <t>보안경(안경)</t>
  </si>
  <si>
    <t>방진마스크</t>
  </si>
  <si>
    <t>안전장화</t>
  </si>
  <si>
    <t xml:space="preserve">방독마스크 </t>
  </si>
  <si>
    <t>안전모 턱끈</t>
  </si>
  <si>
    <t>안전모 내피</t>
  </si>
  <si>
    <t>안전용품</t>
  </si>
  <si>
    <t>검전기</t>
  </si>
  <si>
    <t>활선경보기</t>
  </si>
  <si>
    <t>쿨토시</t>
  </si>
  <si>
    <t>핸드폰 거치대</t>
  </si>
  <si>
    <t>벌퇴치 스프레이</t>
  </si>
  <si>
    <t>살충제</t>
  </si>
  <si>
    <t>검전기(최신)</t>
  </si>
  <si>
    <t>차량용소화기</t>
  </si>
  <si>
    <t>고임목(소형)</t>
  </si>
  <si>
    <t>고임목(중형)</t>
  </si>
  <si>
    <t>안전블록</t>
  </si>
  <si>
    <t>수동구조용 삼각대</t>
  </si>
  <si>
    <t>방독필터</t>
  </si>
  <si>
    <t>방한마스크</t>
  </si>
  <si>
    <t>넥워머</t>
  </si>
  <si>
    <t>배풍기</t>
  </si>
  <si>
    <t>핫팩</t>
  </si>
  <si>
    <t>냉동고</t>
  </si>
  <si>
    <t>위험물보관함</t>
  </si>
  <si>
    <t>식염포도당</t>
  </si>
  <si>
    <t>각반</t>
  </si>
  <si>
    <t>산소공급기</t>
  </si>
  <si>
    <t>생수</t>
  </si>
  <si>
    <t>헤어밴드</t>
  </si>
  <si>
    <t>쿨링마스크</t>
  </si>
  <si>
    <t>공구파우치(휴대폰)</t>
  </si>
  <si>
    <t>안전모 햇빛가리개</t>
  </si>
  <si>
    <t>전동흡착기</t>
  </si>
  <si>
    <t>안전화 건조기</t>
  </si>
  <si>
    <t>안전조끼(형광)</t>
  </si>
  <si>
    <t>손목받침대 세트</t>
  </si>
  <si>
    <t>모스밤</t>
  </si>
  <si>
    <t>모기기피제</t>
  </si>
  <si>
    <t>기타</t>
  </si>
  <si>
    <t>스타리아 보조미러</t>
  </si>
  <si>
    <t>노트북 거치대</t>
  </si>
  <si>
    <t>등산스틱</t>
  </si>
  <si>
    <t>작업표지판 제작</t>
  </si>
  <si>
    <t>스티커 제작</t>
  </si>
  <si>
    <t>부가세 별도 합계</t>
  </si>
  <si>
    <t>검증</t>
  </si>
  <si>
    <t>상반기 예산</t>
  </si>
  <si>
    <t>하반기 예산</t>
  </si>
  <si>
    <t>잔여예산</t>
  </si>
  <si>
    <t>월</t>
    <phoneticPr fontId="11" type="noConversion"/>
  </si>
  <si>
    <t>구매일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</si>
</sst>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_-* #,##0_-;\-* #,##0_-;_-* &quot;-&quot;??_-;_-@_-"/>
  </numFmts>
  <fonts count="12" x14ac:knownFonts="1">
    <font>
      <sz val="11"/>
      <color theme="1"/>
      <name val="맑은 고딕"/>
      <family val="2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41" fontId="3" fillId="0" borderId="0" xfId="0" applyNumberFormat="1" applyFont="1" applyAlignment="1">
      <alignment vertical="center"/>
    </xf>
    <xf numFmtId="0" fontId="3" fillId="0" borderId="3" xfId="0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/>
    </xf>
    <xf numFmtId="41" fontId="3" fillId="0" borderId="3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41" fontId="3" fillId="0" borderId="5" xfId="0" applyNumberFormat="1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1" fontId="3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3" fontId="2" fillId="0" borderId="7" xfId="0" applyNumberFormat="1" applyFont="1" applyBorder="1" applyAlignment="1">
      <alignment vertical="center"/>
    </xf>
    <xf numFmtId="41" fontId="3" fillId="0" borderId="7" xfId="0" applyNumberFormat="1" applyFont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41" fontId="3" fillId="0" borderId="8" xfId="0" applyNumberFormat="1" applyFont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3" fontId="4" fillId="2" borderId="1" xfId="0" applyNumberFormat="1" applyFont="1" applyFill="1" applyBorder="1" applyAlignment="1">
      <alignment horizontal="center" vertical="center"/>
    </xf>
    <xf numFmtId="41" fontId="4" fillId="0" borderId="1" xfId="0" applyNumberFormat="1" applyFont="1" applyBorder="1" applyAlignment="1">
      <alignment vertical="center"/>
    </xf>
    <xf numFmtId="13" fontId="6" fillId="0" borderId="1" xfId="0" applyNumberFormat="1" applyFont="1" applyBorder="1" applyAlignment="1">
      <alignment horizontal="center" vertical="center"/>
    </xf>
    <xf numFmtId="41" fontId="6" fillId="0" borderId="1" xfId="0" applyNumberFormat="1" applyFont="1" applyBorder="1" applyAlignment="1">
      <alignment vertical="center"/>
    </xf>
    <xf numFmtId="4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2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5" fillId="4" borderId="1" xfId="0" applyNumberFormat="1" applyFont="1" applyFill="1" applyBorder="1" applyAlignment="1">
      <alignment horizontal="center" vertical="center"/>
    </xf>
    <xf numFmtId="41" fontId="5" fillId="5" borderId="21" xfId="0" applyNumberFormat="1" applyFont="1" applyFill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1" fontId="8" fillId="0" borderId="2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vertical="center"/>
    </xf>
    <xf numFmtId="41" fontId="3" fillId="0" borderId="1" xfId="0" applyNumberFormat="1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41" fontId="5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41" fontId="9" fillId="3" borderId="1" xfId="0" applyNumberFormat="1" applyFont="1" applyFill="1" applyBorder="1" applyAlignment="1">
      <alignment vertical="center"/>
    </xf>
    <xf numFmtId="41" fontId="3" fillId="3" borderId="1" xfId="0" applyNumberFormat="1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177" fontId="4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176" fontId="5" fillId="2" borderId="11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Normal="100" workbookViewId="0">
      <selection activeCell="D17" sqref="D17"/>
    </sheetView>
  </sheetViews>
  <sheetFormatPr defaultRowHeight="16.5" customHeight="1" x14ac:dyDescent="0.3"/>
  <cols>
    <col min="2" max="2" width="32.875" customWidth="1"/>
    <col min="3" max="3" width="14.75" customWidth="1"/>
    <col min="4" max="15" width="13.5" customWidth="1"/>
    <col min="16" max="16" width="11.875" customWidth="1"/>
  </cols>
  <sheetData>
    <row r="1" spans="1:16" ht="26.25" customHeight="1" x14ac:dyDescent="0.3">
      <c r="A1" s="1" t="s">
        <v>0</v>
      </c>
    </row>
    <row r="2" spans="1:16" ht="35.450000000000003" customHeight="1" x14ac:dyDescent="0.3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/>
    </row>
    <row r="3" spans="1:16" ht="34.9" customHeight="1" x14ac:dyDescent="0.3">
      <c r="A3" s="59" t="s">
        <v>16</v>
      </c>
      <c r="B3" s="5" t="s">
        <v>17</v>
      </c>
      <c r="C3" s="6">
        <f t="shared" ref="C3:C12" si="0">SUM(D3:O3)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</row>
    <row r="4" spans="1:16" ht="34.9" customHeight="1" x14ac:dyDescent="0.3">
      <c r="A4" s="60"/>
      <c r="B4" s="8" t="s">
        <v>18</v>
      </c>
      <c r="C4" s="9">
        <f t="shared" si="0"/>
        <v>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4"/>
    </row>
    <row r="5" spans="1:16" ht="34.9" customHeight="1" x14ac:dyDescent="0.3">
      <c r="A5" s="60"/>
      <c r="B5" s="8" t="s">
        <v>19</v>
      </c>
      <c r="C5" s="9">
        <f t="shared" si="0"/>
        <v>1305500</v>
      </c>
      <c r="D5" s="11"/>
      <c r="E5" s="11"/>
      <c r="F5" s="11"/>
      <c r="G5" s="11"/>
      <c r="H5" s="11">
        <v>1305500</v>
      </c>
      <c r="I5" s="11"/>
      <c r="J5" s="11"/>
      <c r="K5" s="11"/>
      <c r="L5" s="11"/>
      <c r="M5" s="11"/>
      <c r="N5" s="11"/>
      <c r="O5" s="10"/>
      <c r="P5" s="4"/>
    </row>
    <row r="6" spans="1:16" ht="34.9" customHeight="1" x14ac:dyDescent="0.3">
      <c r="A6" s="60"/>
      <c r="B6" s="8" t="s">
        <v>20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0"/>
      <c r="P6" s="4"/>
    </row>
    <row r="7" spans="1:16" ht="34.9" customHeight="1" x14ac:dyDescent="0.3">
      <c r="A7" s="60"/>
      <c r="B7" s="8" t="s">
        <v>21</v>
      </c>
      <c r="C7" s="9">
        <f t="shared" si="0"/>
        <v>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0"/>
      <c r="P7" s="4"/>
    </row>
    <row r="8" spans="1:16" ht="34.9" customHeight="1" x14ac:dyDescent="0.3">
      <c r="A8" s="60"/>
      <c r="B8" s="8" t="s">
        <v>22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0"/>
      <c r="P8" s="4"/>
    </row>
    <row r="9" spans="1:16" ht="34.9" customHeight="1" x14ac:dyDescent="0.3">
      <c r="A9" s="60"/>
      <c r="B9" s="12" t="s">
        <v>23</v>
      </c>
      <c r="C9" s="9">
        <f t="shared" si="0"/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4"/>
    </row>
    <row r="10" spans="1:16" ht="34.9" customHeight="1" x14ac:dyDescent="0.3">
      <c r="A10" s="60"/>
      <c r="B10" s="14" t="s">
        <v>24</v>
      </c>
      <c r="C10" s="15">
        <f t="shared" si="0"/>
        <v>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"/>
    </row>
    <row r="11" spans="1:16" ht="34.9" customHeight="1" x14ac:dyDescent="0.3">
      <c r="A11" s="61"/>
      <c r="B11" s="17" t="s">
        <v>25</v>
      </c>
      <c r="C11" s="15">
        <f t="shared" si="0"/>
        <v>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4"/>
    </row>
    <row r="12" spans="1:16" ht="34.9" customHeight="1" x14ac:dyDescent="0.3">
      <c r="A12" s="62" t="s">
        <v>3</v>
      </c>
      <c r="B12" s="62"/>
      <c r="C12" s="19">
        <f t="shared" si="0"/>
        <v>1305500</v>
      </c>
      <c r="D12" s="19">
        <f t="shared" ref="D12:O12" si="1">SUM(D3:D11)</f>
        <v>0</v>
      </c>
      <c r="E12" s="19">
        <f t="shared" si="1"/>
        <v>0</v>
      </c>
      <c r="F12" s="19">
        <f t="shared" si="1"/>
        <v>0</v>
      </c>
      <c r="G12" s="19">
        <f t="shared" si="1"/>
        <v>0</v>
      </c>
      <c r="H12" s="19">
        <f t="shared" si="1"/>
        <v>1305500</v>
      </c>
      <c r="I12" s="19">
        <f t="shared" si="1"/>
        <v>0</v>
      </c>
      <c r="J12" s="19">
        <f t="shared" si="1"/>
        <v>0</v>
      </c>
      <c r="K12" s="19">
        <f t="shared" si="1"/>
        <v>0</v>
      </c>
      <c r="L12" s="19">
        <f t="shared" si="1"/>
        <v>0</v>
      </c>
      <c r="M12" s="19">
        <f t="shared" si="1"/>
        <v>0</v>
      </c>
      <c r="N12" s="19">
        <f t="shared" si="1"/>
        <v>0</v>
      </c>
      <c r="O12" s="19">
        <f t="shared" si="1"/>
        <v>0</v>
      </c>
    </row>
    <row r="14" spans="1:16" x14ac:dyDescent="0.3">
      <c r="J14" s="4"/>
    </row>
    <row r="15" spans="1:16" x14ac:dyDescent="0.3">
      <c r="J15" s="4"/>
      <c r="O15" s="4"/>
    </row>
    <row r="16" spans="1:16" x14ac:dyDescent="0.3">
      <c r="J16" s="4"/>
      <c r="O16" s="4"/>
    </row>
  </sheetData>
  <mergeCells count="2">
    <mergeCell ref="A3:A11"/>
    <mergeCell ref="A12:B12"/>
  </mergeCells>
  <phoneticPr fontId="11" type="noConversion"/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"/>
  <sheetViews>
    <sheetView zoomScaleNormal="100" workbookViewId="0">
      <pane xSplit="3" ySplit="3" topLeftCell="D4" activePane="bottomRight" state="frozen"/>
      <selection pane="topRight"/>
      <selection pane="bottomLeft"/>
      <selection pane="bottomRight" activeCell="B28" sqref="B28"/>
    </sheetView>
  </sheetViews>
  <sheetFormatPr defaultRowHeight="16.5" customHeight="1" x14ac:dyDescent="0.3"/>
  <cols>
    <col min="1" max="1" width="27.75" customWidth="1"/>
    <col min="2" max="2" width="28.375" customWidth="1"/>
    <col min="3" max="4" width="12.375" customWidth="1"/>
    <col min="5" max="5" width="11.125" customWidth="1"/>
    <col min="6" max="6" width="12.375" customWidth="1"/>
    <col min="7" max="7" width="8.75" customWidth="1"/>
    <col min="8" max="8" width="12.375" customWidth="1"/>
    <col min="9" max="9" width="8.75" customWidth="1"/>
    <col min="10" max="10" width="12.375" customWidth="1"/>
    <col min="11" max="11" width="8.75" customWidth="1"/>
    <col min="12" max="12" width="12.375" customWidth="1"/>
    <col min="13" max="13" width="8.75" customWidth="1"/>
    <col min="14" max="14" width="12.375" customWidth="1"/>
    <col min="15" max="15" width="8.75" customWidth="1"/>
    <col min="16" max="16" width="12.375" customWidth="1"/>
    <col min="17" max="17" width="9.875" customWidth="1"/>
    <col min="18" max="18" width="12.375" customWidth="1"/>
    <col min="19" max="19" width="10.375" customWidth="1"/>
    <col min="20" max="20" width="12.375" customWidth="1"/>
    <col min="21" max="21" width="10.375" customWidth="1"/>
    <col min="22" max="22" width="12.375" customWidth="1"/>
    <col min="23" max="23" width="9.875" customWidth="1"/>
    <col min="24" max="24" width="13.625" customWidth="1"/>
    <col min="25" max="25" width="12.25" customWidth="1"/>
    <col min="26" max="26" width="13.625" customWidth="1"/>
    <col min="27" max="27" width="12" customWidth="1"/>
    <col min="28" max="28" width="18.625" customWidth="1"/>
    <col min="29" max="29" width="14.75" customWidth="1"/>
  </cols>
  <sheetData>
    <row r="1" spans="1:30" ht="26.25" customHeight="1" x14ac:dyDescent="0.3">
      <c r="A1" s="1" t="s">
        <v>26</v>
      </c>
    </row>
    <row r="2" spans="1:30" ht="17.45" customHeight="1" x14ac:dyDescent="0.3">
      <c r="A2" s="65" t="s">
        <v>27</v>
      </c>
      <c r="B2" s="65" t="s">
        <v>28</v>
      </c>
      <c r="C2" s="66" t="s">
        <v>3</v>
      </c>
      <c r="D2" s="63" t="s">
        <v>4</v>
      </c>
      <c r="E2" s="64"/>
      <c r="F2" s="63" t="s">
        <v>5</v>
      </c>
      <c r="G2" s="64"/>
      <c r="H2" s="63" t="s">
        <v>6</v>
      </c>
      <c r="I2" s="64"/>
      <c r="J2" s="63" t="s">
        <v>7</v>
      </c>
      <c r="K2" s="64"/>
      <c r="L2" s="63" t="s">
        <v>8</v>
      </c>
      <c r="M2" s="64"/>
      <c r="N2" s="63" t="s">
        <v>9</v>
      </c>
      <c r="O2" s="64"/>
      <c r="P2" s="63" t="s">
        <v>10</v>
      </c>
      <c r="Q2" s="64"/>
      <c r="R2" s="63" t="s">
        <v>11</v>
      </c>
      <c r="S2" s="64"/>
      <c r="T2" s="63" t="s">
        <v>12</v>
      </c>
      <c r="U2" s="64"/>
      <c r="V2" s="63" t="s">
        <v>13</v>
      </c>
      <c r="W2" s="64"/>
      <c r="X2" s="63" t="s">
        <v>14</v>
      </c>
      <c r="Y2" s="64"/>
      <c r="Z2" s="63" t="s">
        <v>15</v>
      </c>
      <c r="AA2" s="64"/>
      <c r="AB2" s="65" t="s">
        <v>29</v>
      </c>
    </row>
    <row r="3" spans="1:30" x14ac:dyDescent="0.3">
      <c r="A3" s="65"/>
      <c r="B3" s="65"/>
      <c r="C3" s="67"/>
      <c r="D3" s="21" t="s">
        <v>30</v>
      </c>
      <c r="E3" s="22" t="s">
        <v>31</v>
      </c>
      <c r="F3" s="21" t="s">
        <v>30</v>
      </c>
      <c r="G3" s="22" t="s">
        <v>31</v>
      </c>
      <c r="H3" s="21" t="s">
        <v>30</v>
      </c>
      <c r="I3" s="22" t="s">
        <v>31</v>
      </c>
      <c r="J3" s="21" t="s">
        <v>30</v>
      </c>
      <c r="K3" s="22" t="s">
        <v>31</v>
      </c>
      <c r="L3" s="21" t="s">
        <v>30</v>
      </c>
      <c r="M3" s="22" t="s">
        <v>31</v>
      </c>
      <c r="N3" s="21" t="s">
        <v>30</v>
      </c>
      <c r="O3" s="22" t="s">
        <v>31</v>
      </c>
      <c r="P3" s="21" t="s">
        <v>30</v>
      </c>
      <c r="Q3" s="22" t="s">
        <v>31</v>
      </c>
      <c r="R3" s="21" t="s">
        <v>30</v>
      </c>
      <c r="S3" s="22" t="s">
        <v>31</v>
      </c>
      <c r="T3" s="21" t="s">
        <v>30</v>
      </c>
      <c r="U3" s="22" t="s">
        <v>31</v>
      </c>
      <c r="V3" s="21" t="s">
        <v>30</v>
      </c>
      <c r="W3" s="22" t="s">
        <v>31</v>
      </c>
      <c r="X3" s="21" t="s">
        <v>30</v>
      </c>
      <c r="Y3" s="22" t="s">
        <v>31</v>
      </c>
      <c r="Z3" s="21" t="s">
        <v>30</v>
      </c>
      <c r="AA3" s="22" t="s">
        <v>31</v>
      </c>
      <c r="AB3" s="65"/>
    </row>
    <row r="4" spans="1:30" x14ac:dyDescent="0.3">
      <c r="A4" s="68" t="s">
        <v>17</v>
      </c>
      <c r="B4" s="23" t="s">
        <v>32</v>
      </c>
      <c r="C4" s="24">
        <f>D4+F4+H4+J4+L4+N4+P4+R4+T4+V4+X4+Z4</f>
        <v>0</v>
      </c>
      <c r="D4" s="25"/>
      <c r="E4" s="26"/>
      <c r="F4" s="25"/>
      <c r="G4" s="27"/>
      <c r="H4" s="25"/>
      <c r="I4" s="27"/>
      <c r="J4" s="25"/>
      <c r="K4" s="27"/>
      <c r="L4" s="25"/>
      <c r="M4" s="27"/>
      <c r="N4" s="25"/>
      <c r="O4" s="27"/>
      <c r="P4" s="25"/>
      <c r="Q4" s="28"/>
      <c r="R4" s="25"/>
      <c r="S4" s="28"/>
      <c r="T4" s="25"/>
      <c r="U4" s="28"/>
      <c r="V4" s="25"/>
      <c r="W4" s="29"/>
      <c r="X4" s="25"/>
      <c r="Y4" s="29"/>
      <c r="Z4" s="25"/>
      <c r="AA4" s="29"/>
      <c r="AB4" s="30"/>
    </row>
    <row r="5" spans="1:30" x14ac:dyDescent="0.3">
      <c r="A5" s="69"/>
      <c r="B5" s="14" t="s">
        <v>33</v>
      </c>
      <c r="C5" s="24">
        <f t="shared" ref="C5:C19" si="0">D5+F5+H5+J5+L5+N5+P5+R5+T5+V5+X5+Z5</f>
        <v>0</v>
      </c>
      <c r="D5" s="25"/>
      <c r="E5" s="28"/>
      <c r="F5" s="25"/>
      <c r="G5" s="27"/>
      <c r="H5" s="25"/>
      <c r="I5" s="27"/>
      <c r="J5" s="25"/>
      <c r="K5" s="27"/>
      <c r="L5" s="25"/>
      <c r="M5" s="27"/>
      <c r="N5" s="25"/>
      <c r="O5" s="27"/>
      <c r="P5" s="25"/>
      <c r="Q5" s="28"/>
      <c r="R5" s="25"/>
      <c r="S5" s="28"/>
      <c r="T5" s="25"/>
      <c r="U5" s="28"/>
      <c r="V5" s="25"/>
      <c r="W5" s="29"/>
      <c r="X5" s="25"/>
      <c r="Y5" s="29"/>
      <c r="Z5" s="25"/>
      <c r="AA5" s="29"/>
      <c r="AB5" s="30"/>
    </row>
    <row r="6" spans="1:30" x14ac:dyDescent="0.3">
      <c r="A6" s="31" t="s">
        <v>18</v>
      </c>
      <c r="B6" s="30"/>
      <c r="C6" s="24">
        <f t="shared" ref="C6:C18" si="1">D6+F6+H6+J6+L6+N6+P6+R6+T6+V6+X6+Z6</f>
        <v>0</v>
      </c>
      <c r="D6" s="25"/>
      <c r="E6" s="32"/>
      <c r="F6" s="25"/>
      <c r="G6" s="32"/>
      <c r="H6" s="25"/>
      <c r="I6" s="32"/>
      <c r="J6" s="25"/>
      <c r="K6" s="32"/>
      <c r="L6" s="25"/>
      <c r="M6" s="32"/>
      <c r="N6" s="25"/>
      <c r="O6" s="32"/>
      <c r="P6" s="25"/>
      <c r="Q6" s="32"/>
      <c r="R6" s="25"/>
      <c r="S6" s="32"/>
      <c r="T6" s="25"/>
      <c r="U6" s="32"/>
      <c r="V6" s="25"/>
      <c r="W6" s="32"/>
      <c r="X6" s="25"/>
      <c r="Y6" s="32"/>
      <c r="Z6" s="25"/>
      <c r="AA6" s="32"/>
      <c r="AB6" s="30"/>
    </row>
    <row r="7" spans="1:30" x14ac:dyDescent="0.3">
      <c r="A7" s="70" t="s">
        <v>20</v>
      </c>
      <c r="B7" s="23" t="s">
        <v>34</v>
      </c>
      <c r="C7" s="24">
        <f t="shared" si="1"/>
        <v>0</v>
      </c>
      <c r="D7" s="25"/>
      <c r="E7" s="32"/>
      <c r="F7" s="25"/>
      <c r="G7" s="32"/>
      <c r="H7" s="25"/>
      <c r="I7" s="32"/>
      <c r="J7" s="25"/>
      <c r="K7" s="32"/>
      <c r="L7" s="25"/>
      <c r="M7" s="32"/>
      <c r="N7" s="25"/>
      <c r="O7" s="32"/>
      <c r="P7" s="25"/>
      <c r="Q7" s="32"/>
      <c r="R7" s="25"/>
      <c r="S7" s="32"/>
      <c r="T7" s="25"/>
      <c r="U7" s="32"/>
      <c r="V7" s="25"/>
      <c r="W7" s="32"/>
      <c r="X7" s="25"/>
      <c r="Y7" s="32"/>
      <c r="Z7" s="25"/>
      <c r="AA7" s="32"/>
      <c r="AB7" s="30"/>
    </row>
    <row r="8" spans="1:30" x14ac:dyDescent="0.3">
      <c r="A8" s="71"/>
      <c r="B8" s="8" t="s">
        <v>35</v>
      </c>
      <c r="C8" s="24">
        <f t="shared" si="1"/>
        <v>0</v>
      </c>
      <c r="D8" s="25"/>
      <c r="E8" s="32"/>
      <c r="F8" s="25"/>
      <c r="G8" s="32"/>
      <c r="H8" s="25"/>
      <c r="I8" s="32"/>
      <c r="J8" s="25"/>
      <c r="K8" s="32"/>
      <c r="L8" s="25"/>
      <c r="M8" s="32"/>
      <c r="N8" s="25"/>
      <c r="O8" s="32"/>
      <c r="P8" s="25"/>
      <c r="Q8" s="32"/>
      <c r="R8" s="25"/>
      <c r="S8" s="32"/>
      <c r="T8" s="25"/>
      <c r="U8" s="32"/>
      <c r="V8" s="25"/>
      <c r="W8" s="32"/>
      <c r="X8" s="25"/>
      <c r="Y8" s="32"/>
      <c r="Z8" s="25"/>
      <c r="AA8" s="32"/>
      <c r="AB8" s="30"/>
    </row>
    <row r="9" spans="1:30" x14ac:dyDescent="0.3">
      <c r="A9" s="72"/>
      <c r="B9" s="14" t="s">
        <v>36</v>
      </c>
      <c r="C9" s="24">
        <f t="shared" si="1"/>
        <v>0</v>
      </c>
      <c r="D9" s="25"/>
      <c r="E9" s="32"/>
      <c r="F9" s="25"/>
      <c r="G9" s="32"/>
      <c r="H9" s="25"/>
      <c r="I9" s="32"/>
      <c r="J9" s="25"/>
      <c r="K9" s="32"/>
      <c r="L9" s="25"/>
      <c r="M9" s="32"/>
      <c r="N9" s="25"/>
      <c r="O9" s="32"/>
      <c r="P9" s="25"/>
      <c r="Q9" s="32"/>
      <c r="R9" s="25"/>
      <c r="S9" s="32"/>
      <c r="T9" s="25"/>
      <c r="U9" s="32"/>
      <c r="V9" s="25"/>
      <c r="W9" s="32"/>
      <c r="X9" s="25"/>
      <c r="Y9" s="32"/>
      <c r="Z9" s="25"/>
      <c r="AA9" s="32"/>
      <c r="AB9" s="30"/>
    </row>
    <row r="10" spans="1:30" x14ac:dyDescent="0.3">
      <c r="A10" s="59" t="s">
        <v>21</v>
      </c>
      <c r="B10" s="23" t="s">
        <v>37</v>
      </c>
      <c r="C10" s="24">
        <f t="shared" si="1"/>
        <v>0</v>
      </c>
      <c r="D10" s="25"/>
      <c r="E10" s="32"/>
      <c r="F10" s="25"/>
      <c r="G10" s="29"/>
      <c r="H10" s="25"/>
      <c r="I10" s="32"/>
      <c r="J10" s="25"/>
      <c r="K10" s="32"/>
      <c r="L10" s="25"/>
      <c r="M10" s="32"/>
      <c r="N10" s="25"/>
      <c r="O10" s="32"/>
      <c r="P10" s="25"/>
      <c r="Q10" s="32"/>
      <c r="R10" s="25"/>
      <c r="S10" s="32"/>
      <c r="T10" s="25"/>
      <c r="U10" s="32"/>
      <c r="V10" s="25"/>
      <c r="W10" s="32"/>
      <c r="X10" s="25"/>
      <c r="Y10" s="32"/>
      <c r="Z10" s="25"/>
      <c r="AA10" s="32"/>
      <c r="AB10" s="30"/>
    </row>
    <row r="11" spans="1:30" x14ac:dyDescent="0.3">
      <c r="A11" s="60"/>
      <c r="B11" s="8" t="s">
        <v>38</v>
      </c>
      <c r="C11" s="24">
        <f t="shared" si="1"/>
        <v>0</v>
      </c>
      <c r="D11" s="25"/>
      <c r="E11" s="32"/>
      <c r="F11" s="25"/>
      <c r="G11" s="32"/>
      <c r="H11" s="25"/>
      <c r="I11" s="32"/>
      <c r="J11" s="25"/>
      <c r="K11" s="32"/>
      <c r="L11" s="25"/>
      <c r="M11" s="32"/>
      <c r="N11" s="25"/>
      <c r="O11" s="32"/>
      <c r="P11" s="25"/>
      <c r="Q11" s="32"/>
      <c r="R11" s="30"/>
      <c r="S11" s="30"/>
      <c r="T11" s="25"/>
      <c r="U11" s="32"/>
      <c r="V11" s="25"/>
      <c r="W11" s="32"/>
      <c r="X11" s="25"/>
      <c r="Y11" s="32"/>
      <c r="Z11" s="25"/>
      <c r="AA11" s="32"/>
      <c r="AB11" s="30"/>
    </row>
    <row r="12" spans="1:30" x14ac:dyDescent="0.3">
      <c r="A12" s="60"/>
      <c r="B12" s="8" t="s">
        <v>39</v>
      </c>
      <c r="C12" s="24">
        <f t="shared" si="1"/>
        <v>0</v>
      </c>
      <c r="D12" s="25"/>
      <c r="E12" s="32"/>
      <c r="F12" s="25"/>
      <c r="G12" s="32"/>
      <c r="H12" s="25"/>
      <c r="I12" s="32"/>
      <c r="J12" s="25"/>
      <c r="K12" s="32"/>
      <c r="L12" s="25"/>
      <c r="M12" s="32"/>
      <c r="N12" s="25"/>
      <c r="O12" s="32"/>
      <c r="P12" s="25"/>
      <c r="Q12" s="32"/>
      <c r="R12" s="25"/>
      <c r="S12" s="32"/>
      <c r="T12" s="25"/>
      <c r="U12" s="32"/>
      <c r="V12" s="25"/>
      <c r="W12" s="32"/>
      <c r="X12" s="25"/>
      <c r="Y12" s="33"/>
      <c r="Z12" s="25"/>
      <c r="AA12" s="32"/>
      <c r="AB12" s="30"/>
    </row>
    <row r="13" spans="1:30" x14ac:dyDescent="0.3">
      <c r="A13" s="60"/>
      <c r="B13" s="8" t="s">
        <v>40</v>
      </c>
      <c r="C13" s="24">
        <f t="shared" si="1"/>
        <v>0</v>
      </c>
      <c r="D13" s="25"/>
      <c r="E13" s="32"/>
      <c r="F13" s="25"/>
      <c r="G13" s="32"/>
      <c r="H13" s="25"/>
      <c r="I13" s="32"/>
      <c r="J13" s="25"/>
      <c r="K13" s="32"/>
      <c r="L13" s="25"/>
      <c r="M13" s="32"/>
      <c r="N13" s="25"/>
      <c r="O13" s="32"/>
      <c r="P13" s="25"/>
      <c r="Q13" s="32"/>
      <c r="R13" s="25"/>
      <c r="S13" s="32"/>
      <c r="T13" s="25"/>
      <c r="U13" s="32"/>
      <c r="V13" s="25"/>
      <c r="W13" s="32"/>
      <c r="X13" s="25"/>
      <c r="Y13" s="33"/>
      <c r="Z13" s="25"/>
      <c r="AA13" s="32"/>
      <c r="AB13" s="30"/>
    </row>
    <row r="14" spans="1:30" x14ac:dyDescent="0.3">
      <c r="A14" s="60"/>
      <c r="B14" s="12" t="s">
        <v>41</v>
      </c>
      <c r="C14" s="24">
        <f t="shared" si="1"/>
        <v>0</v>
      </c>
      <c r="D14" s="25"/>
      <c r="E14" s="32"/>
      <c r="F14" s="25"/>
      <c r="G14" s="32"/>
      <c r="H14" s="25"/>
      <c r="I14" s="32"/>
      <c r="J14" s="25"/>
      <c r="K14" s="32"/>
      <c r="L14" s="25"/>
      <c r="M14" s="32"/>
      <c r="N14" s="25"/>
      <c r="O14" s="32"/>
      <c r="P14" s="25"/>
      <c r="Q14" s="32"/>
      <c r="R14" s="25"/>
      <c r="S14" s="32"/>
      <c r="T14" s="25"/>
      <c r="U14" s="32"/>
      <c r="V14" s="25"/>
      <c r="W14" s="32"/>
      <c r="X14" s="25"/>
      <c r="Y14" s="32"/>
      <c r="Z14" s="25"/>
      <c r="AA14" s="32"/>
      <c r="AB14" s="30"/>
    </row>
    <row r="15" spans="1:30" x14ac:dyDescent="0.3">
      <c r="A15" s="73"/>
      <c r="B15" s="34" t="s">
        <v>42</v>
      </c>
      <c r="C15" s="24">
        <f t="shared" si="1"/>
        <v>0</v>
      </c>
      <c r="D15" s="25"/>
      <c r="E15" s="32"/>
      <c r="F15" s="25"/>
      <c r="G15" s="32"/>
      <c r="H15" s="25"/>
      <c r="I15" s="32"/>
      <c r="J15" s="25"/>
      <c r="K15" s="32"/>
      <c r="L15" s="25"/>
      <c r="M15" s="32"/>
      <c r="N15" s="25"/>
      <c r="O15" s="32"/>
      <c r="P15" s="25"/>
      <c r="Q15" s="32"/>
      <c r="R15" s="25"/>
      <c r="S15" s="32"/>
      <c r="T15" s="25"/>
      <c r="U15" s="32"/>
      <c r="V15" s="25"/>
      <c r="W15" s="32"/>
      <c r="X15" s="25"/>
      <c r="Y15" s="32"/>
      <c r="Z15" s="25"/>
      <c r="AA15" s="32"/>
      <c r="AB15" s="30"/>
    </row>
    <row r="16" spans="1:30" x14ac:dyDescent="0.3">
      <c r="A16" s="31" t="s">
        <v>22</v>
      </c>
      <c r="B16" s="35" t="s">
        <v>43</v>
      </c>
      <c r="C16" s="24">
        <f t="shared" si="1"/>
        <v>0</v>
      </c>
      <c r="D16" s="25"/>
      <c r="E16" s="32"/>
      <c r="F16" s="25"/>
      <c r="G16" s="32"/>
      <c r="H16" s="25"/>
      <c r="I16" s="32"/>
      <c r="J16" s="25"/>
      <c r="K16" s="32"/>
      <c r="L16" s="25"/>
      <c r="M16" s="32"/>
      <c r="N16" s="25"/>
      <c r="O16" s="32"/>
      <c r="P16" s="25"/>
      <c r="Q16" s="32"/>
      <c r="R16" s="25"/>
      <c r="S16" s="32"/>
      <c r="T16" s="25"/>
      <c r="U16" s="32"/>
      <c r="V16" s="25"/>
      <c r="W16" s="32"/>
      <c r="X16" s="25"/>
      <c r="Y16" s="32"/>
      <c r="Z16" s="25"/>
      <c r="AA16" s="32"/>
      <c r="AB16" s="30"/>
      <c r="AD16" s="36"/>
    </row>
    <row r="17" spans="1:28" x14ac:dyDescent="0.3">
      <c r="A17" s="31" t="s">
        <v>23</v>
      </c>
      <c r="B17" s="30"/>
      <c r="C17" s="24">
        <f t="shared" si="1"/>
        <v>0</v>
      </c>
      <c r="D17" s="25"/>
      <c r="E17" s="32"/>
      <c r="F17" s="25"/>
      <c r="G17" s="32"/>
      <c r="H17" s="25"/>
      <c r="I17" s="32"/>
      <c r="J17" s="25"/>
      <c r="K17" s="32"/>
      <c r="L17" s="25"/>
      <c r="M17" s="32"/>
      <c r="N17" s="25"/>
      <c r="O17" s="32"/>
      <c r="P17" s="25"/>
      <c r="Q17" s="32"/>
      <c r="R17" s="25"/>
      <c r="S17" s="32"/>
      <c r="T17" s="25"/>
      <c r="U17" s="32"/>
      <c r="V17" s="25"/>
      <c r="W17" s="32"/>
      <c r="X17" s="25"/>
      <c r="Y17" s="32"/>
      <c r="Z17" s="25"/>
      <c r="AA17" s="32"/>
      <c r="AB17" s="30"/>
    </row>
    <row r="18" spans="1:28" x14ac:dyDescent="0.3">
      <c r="A18" s="31" t="s">
        <v>24</v>
      </c>
      <c r="B18" s="30"/>
      <c r="C18" s="24">
        <f t="shared" si="1"/>
        <v>0</v>
      </c>
      <c r="D18" s="25"/>
      <c r="E18" s="32"/>
      <c r="F18" s="25"/>
      <c r="G18" s="32"/>
      <c r="H18" s="25"/>
      <c r="I18" s="32"/>
      <c r="J18" s="25"/>
      <c r="K18" s="32"/>
      <c r="L18" s="25"/>
      <c r="M18" s="32"/>
      <c r="N18" s="25"/>
      <c r="O18" s="32"/>
      <c r="P18" s="25"/>
      <c r="Q18" s="32"/>
      <c r="R18" s="25"/>
      <c r="S18" s="32"/>
      <c r="T18" s="25"/>
      <c r="U18" s="32"/>
      <c r="V18" s="25"/>
      <c r="W18" s="32"/>
      <c r="X18" s="25"/>
      <c r="Y18" s="32"/>
      <c r="Z18" s="25"/>
      <c r="AA18" s="32"/>
      <c r="AB18" s="30"/>
    </row>
    <row r="19" spans="1:28" x14ac:dyDescent="0.3">
      <c r="A19" s="31"/>
      <c r="B19" s="30"/>
      <c r="C19" s="24">
        <f t="shared" si="0"/>
        <v>0</v>
      </c>
      <c r="D19" s="25"/>
      <c r="E19" s="32"/>
      <c r="F19" s="25"/>
      <c r="G19" s="32"/>
      <c r="H19" s="25"/>
      <c r="I19" s="32"/>
      <c r="J19" s="25"/>
      <c r="K19" s="37"/>
      <c r="L19" s="25"/>
      <c r="M19" s="32"/>
      <c r="N19" s="25"/>
      <c r="O19" s="37"/>
      <c r="P19" s="25"/>
      <c r="Q19" s="32"/>
      <c r="R19" s="25"/>
      <c r="S19" s="32"/>
      <c r="T19" s="25"/>
      <c r="U19" s="32"/>
      <c r="V19" s="25"/>
      <c r="W19" s="32"/>
      <c r="X19" s="25"/>
      <c r="Y19" s="32"/>
      <c r="Z19" s="25"/>
      <c r="AA19" s="32"/>
      <c r="AB19" s="30"/>
    </row>
    <row r="20" spans="1:28" x14ac:dyDescent="0.3">
      <c r="I20" s="38"/>
      <c r="X20" s="39"/>
    </row>
  </sheetData>
  <mergeCells count="19">
    <mergeCell ref="AB2:AB3"/>
    <mergeCell ref="A4:A5"/>
    <mergeCell ref="A7:A9"/>
    <mergeCell ref="A10:A15"/>
    <mergeCell ref="X2:Y2"/>
    <mergeCell ref="Z2:AA2"/>
    <mergeCell ref="A2:A3"/>
    <mergeCell ref="B2:B3"/>
    <mergeCell ref="C2:C3"/>
    <mergeCell ref="N2:O2"/>
    <mergeCell ref="P2:Q2"/>
    <mergeCell ref="R2:S2"/>
    <mergeCell ref="T2:U2"/>
    <mergeCell ref="V2:W2"/>
    <mergeCell ref="D2:E2"/>
    <mergeCell ref="F2:G2"/>
    <mergeCell ref="H2:I2"/>
    <mergeCell ref="J2:K2"/>
    <mergeCell ref="L2:M2"/>
  </mergeCells>
  <phoneticPr fontId="11" type="noConversion"/>
  <pageMargins left="0.7" right="0.7" top="0.75" bottom="0.75" header="0.3" footer="0.3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6"/>
  <sheetViews>
    <sheetView zoomScale="71" zoomScaleNormal="71" workbookViewId="0">
      <pane xSplit="4" ySplit="4" topLeftCell="E38" activePane="bottomRight" state="frozen"/>
      <selection pane="topRight"/>
      <selection pane="bottomLeft"/>
      <selection pane="bottomRight" activeCell="M60" sqref="M60"/>
    </sheetView>
  </sheetViews>
  <sheetFormatPr defaultRowHeight="16.5" customHeight="1" x14ac:dyDescent="0.3"/>
  <cols>
    <col min="1" max="1" width="10.5" customWidth="1"/>
    <col min="2" max="2" width="20.5" customWidth="1"/>
    <col min="3" max="3" width="15.875" customWidth="1"/>
    <col min="4" max="4" width="19.5" customWidth="1"/>
    <col min="5" max="5" width="12.625" customWidth="1"/>
    <col min="6" max="6" width="11.25" customWidth="1"/>
    <col min="7" max="7" width="8.375" customWidth="1"/>
    <col min="11" max="11" width="16.75" customWidth="1"/>
    <col min="13" max="13" width="12.375" customWidth="1"/>
    <col min="19" max="19" width="16.75" customWidth="1"/>
  </cols>
  <sheetData>
    <row r="1" spans="1:9" ht="27" customHeight="1" x14ac:dyDescent="0.3">
      <c r="A1" s="40" t="s">
        <v>44</v>
      </c>
      <c r="F1" s="38"/>
    </row>
    <row r="2" spans="1:9" s="41" customFormat="1" ht="30.6" customHeight="1" x14ac:dyDescent="0.3">
      <c r="A2" s="65" t="s">
        <v>27</v>
      </c>
      <c r="B2" s="65"/>
      <c r="C2" s="74" t="s">
        <v>3</v>
      </c>
      <c r="D2" s="75"/>
      <c r="E2" s="78" t="s">
        <v>111</v>
      </c>
      <c r="F2" s="79"/>
      <c r="G2" s="81" t="s">
        <v>29</v>
      </c>
    </row>
    <row r="3" spans="1:9" s="41" customFormat="1" ht="30.6" customHeight="1" x14ac:dyDescent="0.3">
      <c r="A3" s="65"/>
      <c r="B3" s="65"/>
      <c r="C3" s="76"/>
      <c r="D3" s="77"/>
      <c r="E3" s="80" t="s">
        <v>112</v>
      </c>
      <c r="F3" s="77"/>
      <c r="G3" s="82"/>
    </row>
    <row r="4" spans="1:9" s="41" customFormat="1" ht="25.15" customHeight="1" x14ac:dyDescent="0.3">
      <c r="A4" s="65"/>
      <c r="B4" s="65"/>
      <c r="C4" s="20" t="s">
        <v>45</v>
      </c>
      <c r="D4" s="42" t="s">
        <v>46</v>
      </c>
      <c r="E4" s="20" t="s">
        <v>47</v>
      </c>
      <c r="F4" s="20" t="s">
        <v>48</v>
      </c>
      <c r="G4" s="77"/>
    </row>
    <row r="5" spans="1:9" s="41" customFormat="1" ht="25.15" customHeight="1" x14ac:dyDescent="0.3">
      <c r="A5" s="83" t="s">
        <v>49</v>
      </c>
      <c r="B5" s="43" t="s">
        <v>50</v>
      </c>
      <c r="C5" s="44">
        <f t="shared" ref="C5:C36" si="0">E5</f>
        <v>0</v>
      </c>
      <c r="D5" s="45">
        <f t="shared" ref="D5:D36" si="1">F5</f>
        <v>0</v>
      </c>
      <c r="E5" s="46"/>
      <c r="F5" s="46"/>
      <c r="G5" s="47"/>
    </row>
    <row r="6" spans="1:9" s="41" customFormat="1" ht="25.15" customHeight="1" x14ac:dyDescent="0.3">
      <c r="A6" s="83"/>
      <c r="B6" s="43" t="s">
        <v>51</v>
      </c>
      <c r="C6" s="44">
        <f t="shared" si="0"/>
        <v>0</v>
      </c>
      <c r="D6" s="45">
        <f t="shared" si="1"/>
        <v>0</v>
      </c>
      <c r="E6" s="46"/>
      <c r="F6" s="46"/>
      <c r="G6" s="47"/>
      <c r="I6" s="48"/>
    </row>
    <row r="7" spans="1:9" s="41" customFormat="1" ht="25.15" customHeight="1" x14ac:dyDescent="0.3">
      <c r="A7" s="83"/>
      <c r="B7" s="43" t="s">
        <v>52</v>
      </c>
      <c r="C7" s="44">
        <f t="shared" si="0"/>
        <v>0</v>
      </c>
      <c r="D7" s="45">
        <f t="shared" si="1"/>
        <v>0</v>
      </c>
      <c r="E7" s="46"/>
      <c r="F7" s="46"/>
      <c r="G7" s="47"/>
    </row>
    <row r="8" spans="1:9" s="41" customFormat="1" ht="25.15" customHeight="1" x14ac:dyDescent="0.3">
      <c r="A8" s="83"/>
      <c r="B8" s="43" t="s">
        <v>53</v>
      </c>
      <c r="C8" s="44">
        <f t="shared" si="0"/>
        <v>0</v>
      </c>
      <c r="D8" s="45">
        <f t="shared" si="1"/>
        <v>0</v>
      </c>
      <c r="E8" s="46"/>
      <c r="F8" s="46"/>
      <c r="G8" s="47"/>
    </row>
    <row r="9" spans="1:9" s="41" customFormat="1" ht="25.15" customHeight="1" x14ac:dyDescent="0.3">
      <c r="A9" s="83"/>
      <c r="B9" s="43" t="s">
        <v>54</v>
      </c>
      <c r="C9" s="44">
        <f t="shared" si="0"/>
        <v>0</v>
      </c>
      <c r="D9" s="45">
        <f t="shared" si="1"/>
        <v>0</v>
      </c>
      <c r="E9" s="46"/>
      <c r="F9" s="46"/>
      <c r="G9" s="47"/>
    </row>
    <row r="10" spans="1:9" s="41" customFormat="1" ht="25.15" customHeight="1" x14ac:dyDescent="0.3">
      <c r="A10" s="83"/>
      <c r="B10" s="43" t="s">
        <v>55</v>
      </c>
      <c r="C10" s="44">
        <f t="shared" si="0"/>
        <v>0</v>
      </c>
      <c r="D10" s="45">
        <f t="shared" si="1"/>
        <v>0</v>
      </c>
      <c r="E10" s="46"/>
      <c r="F10" s="46"/>
      <c r="G10" s="47"/>
    </row>
    <row r="11" spans="1:9" s="41" customFormat="1" ht="25.15" customHeight="1" x14ac:dyDescent="0.3">
      <c r="A11" s="83"/>
      <c r="B11" s="43" t="s">
        <v>56</v>
      </c>
      <c r="C11" s="44">
        <f t="shared" si="0"/>
        <v>0</v>
      </c>
      <c r="D11" s="45">
        <f t="shared" si="1"/>
        <v>0</v>
      </c>
      <c r="E11" s="46"/>
      <c r="F11" s="46"/>
      <c r="G11" s="47"/>
    </row>
    <row r="12" spans="1:9" s="41" customFormat="1" ht="25.15" customHeight="1" x14ac:dyDescent="0.3">
      <c r="A12" s="83"/>
      <c r="B12" s="43" t="s">
        <v>57</v>
      </c>
      <c r="C12" s="44">
        <f t="shared" si="0"/>
        <v>0</v>
      </c>
      <c r="D12" s="45">
        <f t="shared" si="1"/>
        <v>0</v>
      </c>
      <c r="E12" s="46"/>
      <c r="F12" s="46"/>
      <c r="G12" s="47"/>
    </row>
    <row r="13" spans="1:9" s="41" customFormat="1" ht="25.15" customHeight="1" x14ac:dyDescent="0.3">
      <c r="A13" s="83"/>
      <c r="B13" s="43" t="s">
        <v>58</v>
      </c>
      <c r="C13" s="44">
        <f t="shared" si="0"/>
        <v>0</v>
      </c>
      <c r="D13" s="45">
        <f t="shared" si="1"/>
        <v>0</v>
      </c>
      <c r="E13" s="46"/>
      <c r="F13" s="46"/>
      <c r="G13" s="47"/>
    </row>
    <row r="14" spans="1:9" s="41" customFormat="1" ht="25.15" customHeight="1" x14ac:dyDescent="0.3">
      <c r="A14" s="83"/>
      <c r="B14" s="43" t="s">
        <v>59</v>
      </c>
      <c r="C14" s="44">
        <f t="shared" si="0"/>
        <v>0</v>
      </c>
      <c r="D14" s="45">
        <f t="shared" si="1"/>
        <v>0</v>
      </c>
      <c r="E14" s="46"/>
      <c r="F14" s="46"/>
      <c r="G14" s="47"/>
    </row>
    <row r="15" spans="1:9" s="41" customFormat="1" ht="25.15" customHeight="1" x14ac:dyDescent="0.3">
      <c r="A15" s="83"/>
      <c r="B15" s="43" t="s">
        <v>60</v>
      </c>
      <c r="C15" s="44">
        <f t="shared" si="0"/>
        <v>0</v>
      </c>
      <c r="D15" s="45">
        <f t="shared" si="1"/>
        <v>0</v>
      </c>
      <c r="E15" s="46"/>
      <c r="F15" s="46"/>
      <c r="G15" s="47"/>
    </row>
    <row r="16" spans="1:9" s="41" customFormat="1" ht="25.15" customHeight="1" x14ac:dyDescent="0.3">
      <c r="A16" s="83"/>
      <c r="B16" s="43" t="s">
        <v>61</v>
      </c>
      <c r="C16" s="44">
        <f t="shared" si="0"/>
        <v>0</v>
      </c>
      <c r="D16" s="45">
        <f t="shared" si="1"/>
        <v>0</v>
      </c>
      <c r="E16" s="46"/>
      <c r="F16" s="46"/>
      <c r="G16" s="47"/>
    </row>
    <row r="17" spans="1:7" s="41" customFormat="1" ht="25.15" customHeight="1" x14ac:dyDescent="0.3">
      <c r="A17" s="83"/>
      <c r="B17" s="43" t="s">
        <v>62</v>
      </c>
      <c r="C17" s="44">
        <f t="shared" si="0"/>
        <v>0</v>
      </c>
      <c r="D17" s="45">
        <f t="shared" si="1"/>
        <v>0</v>
      </c>
      <c r="E17" s="46"/>
      <c r="F17" s="46"/>
      <c r="G17" s="47"/>
    </row>
    <row r="18" spans="1:7" s="41" customFormat="1" ht="25.15" customHeight="1" x14ac:dyDescent="0.3">
      <c r="A18" s="83"/>
      <c r="B18" s="43" t="s">
        <v>63</v>
      </c>
      <c r="C18" s="44">
        <f t="shared" si="0"/>
        <v>0</v>
      </c>
      <c r="D18" s="45">
        <f t="shared" si="1"/>
        <v>0</v>
      </c>
      <c r="E18" s="46"/>
      <c r="F18" s="46"/>
      <c r="G18" s="47"/>
    </row>
    <row r="19" spans="1:7" s="41" customFormat="1" ht="25.15" customHeight="1" x14ac:dyDescent="0.3">
      <c r="A19" s="83"/>
      <c r="B19" s="43" t="s">
        <v>64</v>
      </c>
      <c r="C19" s="44">
        <f t="shared" si="0"/>
        <v>0</v>
      </c>
      <c r="D19" s="45">
        <f t="shared" si="1"/>
        <v>0</v>
      </c>
      <c r="E19" s="46"/>
      <c r="F19" s="46"/>
      <c r="G19" s="47"/>
    </row>
    <row r="20" spans="1:7" s="41" customFormat="1" ht="25.15" customHeight="1" x14ac:dyDescent="0.3">
      <c r="A20" s="83"/>
      <c r="B20" s="43" t="s">
        <v>65</v>
      </c>
      <c r="C20" s="44">
        <f t="shared" si="0"/>
        <v>0</v>
      </c>
      <c r="D20" s="45">
        <f t="shared" si="1"/>
        <v>0</v>
      </c>
      <c r="E20" s="46"/>
      <c r="F20" s="46"/>
      <c r="G20" s="47"/>
    </row>
    <row r="21" spans="1:7" s="41" customFormat="1" ht="25.15" customHeight="1" x14ac:dyDescent="0.3">
      <c r="A21" s="83" t="s">
        <v>66</v>
      </c>
      <c r="B21" s="43" t="s">
        <v>67</v>
      </c>
      <c r="C21" s="44">
        <f t="shared" si="0"/>
        <v>0</v>
      </c>
      <c r="D21" s="45">
        <f t="shared" si="1"/>
        <v>0</v>
      </c>
      <c r="E21" s="46"/>
      <c r="F21" s="46"/>
      <c r="G21" s="47"/>
    </row>
    <row r="22" spans="1:7" s="41" customFormat="1" ht="25.15" customHeight="1" x14ac:dyDescent="0.3">
      <c r="A22" s="83"/>
      <c r="B22" s="43" t="s">
        <v>68</v>
      </c>
      <c r="C22" s="44">
        <f t="shared" si="0"/>
        <v>0</v>
      </c>
      <c r="D22" s="45">
        <f t="shared" si="1"/>
        <v>0</v>
      </c>
      <c r="E22" s="46"/>
      <c r="F22" s="46"/>
      <c r="G22" s="47"/>
    </row>
    <row r="23" spans="1:7" s="41" customFormat="1" ht="25.15" customHeight="1" x14ac:dyDescent="0.3">
      <c r="A23" s="83"/>
      <c r="B23" s="43" t="s">
        <v>69</v>
      </c>
      <c r="C23" s="44">
        <f t="shared" si="0"/>
        <v>0</v>
      </c>
      <c r="D23" s="45">
        <f t="shared" si="1"/>
        <v>0</v>
      </c>
      <c r="E23" s="46"/>
      <c r="F23" s="46"/>
      <c r="G23" s="47"/>
    </row>
    <row r="24" spans="1:7" s="41" customFormat="1" ht="24.75" customHeight="1" x14ac:dyDescent="0.3">
      <c r="A24" s="83"/>
      <c r="B24" s="43" t="s">
        <v>70</v>
      </c>
      <c r="C24" s="44">
        <f t="shared" si="0"/>
        <v>0</v>
      </c>
      <c r="D24" s="45">
        <f t="shared" si="1"/>
        <v>0</v>
      </c>
      <c r="E24" s="46"/>
      <c r="F24" s="46"/>
      <c r="G24" s="47"/>
    </row>
    <row r="25" spans="1:7" s="41" customFormat="1" ht="25.15" customHeight="1" x14ac:dyDescent="0.3">
      <c r="A25" s="83"/>
      <c r="B25" s="43" t="s">
        <v>71</v>
      </c>
      <c r="C25" s="44">
        <f t="shared" si="0"/>
        <v>0</v>
      </c>
      <c r="D25" s="45">
        <f t="shared" si="1"/>
        <v>0</v>
      </c>
      <c r="E25" s="46"/>
      <c r="F25" s="46"/>
      <c r="G25" s="47"/>
    </row>
    <row r="26" spans="1:7" s="41" customFormat="1" ht="25.15" customHeight="1" x14ac:dyDescent="0.3">
      <c r="A26" s="83"/>
      <c r="B26" s="43" t="s">
        <v>72</v>
      </c>
      <c r="C26" s="44">
        <f t="shared" si="0"/>
        <v>0</v>
      </c>
      <c r="D26" s="45">
        <f t="shared" si="1"/>
        <v>0</v>
      </c>
      <c r="E26" s="46"/>
      <c r="F26" s="46"/>
      <c r="G26" s="47"/>
    </row>
    <row r="27" spans="1:7" ht="29.45" customHeight="1" x14ac:dyDescent="0.3">
      <c r="A27" s="83"/>
      <c r="B27" s="43" t="s">
        <v>73</v>
      </c>
      <c r="C27" s="44">
        <f t="shared" si="0"/>
        <v>0</v>
      </c>
      <c r="D27" s="45">
        <f t="shared" si="1"/>
        <v>0</v>
      </c>
      <c r="E27" s="46"/>
      <c r="F27" s="46"/>
      <c r="G27" s="47"/>
    </row>
    <row r="28" spans="1:7" ht="27" customHeight="1" x14ac:dyDescent="0.3">
      <c r="A28" s="83"/>
      <c r="B28" s="43" t="s">
        <v>74</v>
      </c>
      <c r="C28" s="44">
        <f t="shared" si="0"/>
        <v>0</v>
      </c>
      <c r="D28" s="45">
        <f t="shared" si="1"/>
        <v>0</v>
      </c>
      <c r="E28" s="46"/>
      <c r="F28" s="46"/>
      <c r="G28" s="47"/>
    </row>
    <row r="29" spans="1:7" x14ac:dyDescent="0.3">
      <c r="A29" s="83"/>
      <c r="B29" s="43" t="s">
        <v>75</v>
      </c>
      <c r="C29" s="44">
        <f t="shared" si="0"/>
        <v>0</v>
      </c>
      <c r="D29" s="45">
        <f t="shared" si="1"/>
        <v>0</v>
      </c>
      <c r="E29" s="46"/>
      <c r="F29" s="46"/>
      <c r="G29" s="47"/>
    </row>
    <row r="30" spans="1:7" x14ac:dyDescent="0.3">
      <c r="A30" s="83"/>
      <c r="B30" s="43" t="s">
        <v>76</v>
      </c>
      <c r="C30" s="44">
        <f t="shared" si="0"/>
        <v>0</v>
      </c>
      <c r="D30" s="45">
        <f t="shared" si="1"/>
        <v>0</v>
      </c>
      <c r="E30" s="46"/>
      <c r="F30" s="46"/>
      <c r="G30" s="47"/>
    </row>
    <row r="31" spans="1:7" x14ac:dyDescent="0.3">
      <c r="A31" s="83"/>
      <c r="B31" s="43" t="s">
        <v>77</v>
      </c>
      <c r="C31" s="44">
        <f t="shared" si="0"/>
        <v>0</v>
      </c>
      <c r="D31" s="45">
        <f t="shared" si="1"/>
        <v>0</v>
      </c>
      <c r="E31" s="46"/>
      <c r="F31" s="46"/>
      <c r="G31" s="47"/>
    </row>
    <row r="32" spans="1:7" x14ac:dyDescent="0.3">
      <c r="A32" s="83"/>
      <c r="B32" s="43" t="s">
        <v>78</v>
      </c>
      <c r="C32" s="44">
        <f t="shared" si="0"/>
        <v>0</v>
      </c>
      <c r="D32" s="45">
        <f t="shared" si="1"/>
        <v>0</v>
      </c>
      <c r="E32" s="46"/>
      <c r="F32" s="46"/>
      <c r="G32" s="47"/>
    </row>
    <row r="33" spans="1:19" x14ac:dyDescent="0.3">
      <c r="A33" s="83"/>
      <c r="B33" s="43" t="s">
        <v>79</v>
      </c>
      <c r="C33" s="44">
        <f t="shared" si="0"/>
        <v>0</v>
      </c>
      <c r="D33" s="45">
        <f t="shared" si="1"/>
        <v>0</v>
      </c>
      <c r="E33" s="46"/>
      <c r="F33" s="46"/>
      <c r="G33" s="47"/>
    </row>
    <row r="34" spans="1:19" x14ac:dyDescent="0.3">
      <c r="A34" s="83"/>
      <c r="B34" s="43" t="s">
        <v>80</v>
      </c>
      <c r="C34" s="44">
        <f t="shared" si="0"/>
        <v>0</v>
      </c>
      <c r="D34" s="45">
        <f t="shared" si="1"/>
        <v>0</v>
      </c>
      <c r="E34" s="46"/>
      <c r="F34" s="46"/>
      <c r="G34" s="47"/>
    </row>
    <row r="35" spans="1:19" x14ac:dyDescent="0.3">
      <c r="A35" s="83"/>
      <c r="B35" s="43" t="s">
        <v>81</v>
      </c>
      <c r="C35" s="44">
        <f t="shared" si="0"/>
        <v>0</v>
      </c>
      <c r="D35" s="45">
        <f t="shared" si="1"/>
        <v>0</v>
      </c>
      <c r="E35" s="46"/>
      <c r="F35" s="46"/>
      <c r="G35" s="47"/>
    </row>
    <row r="36" spans="1:19" x14ac:dyDescent="0.3">
      <c r="A36" s="83"/>
      <c r="B36" s="43" t="s">
        <v>82</v>
      </c>
      <c r="C36" s="44">
        <f t="shared" si="0"/>
        <v>0</v>
      </c>
      <c r="D36" s="45">
        <f t="shared" si="1"/>
        <v>0</v>
      </c>
      <c r="E36" s="46"/>
      <c r="F36" s="46"/>
      <c r="G36" s="47"/>
      <c r="S36" s="49"/>
    </row>
    <row r="37" spans="1:19" x14ac:dyDescent="0.3">
      <c r="A37" s="83"/>
      <c r="B37" s="43" t="s">
        <v>83</v>
      </c>
      <c r="C37" s="44">
        <f t="shared" ref="C37:C58" si="2">E37</f>
        <v>0</v>
      </c>
      <c r="D37" s="45">
        <f t="shared" ref="D37:D58" si="3">F37</f>
        <v>0</v>
      </c>
      <c r="E37" s="46"/>
      <c r="F37" s="46"/>
      <c r="G37" s="47"/>
      <c r="K37" s="49"/>
    </row>
    <row r="38" spans="1:19" x14ac:dyDescent="0.3">
      <c r="A38" s="83"/>
      <c r="B38" s="43" t="s">
        <v>84</v>
      </c>
      <c r="C38" s="44">
        <f t="shared" si="2"/>
        <v>0</v>
      </c>
      <c r="D38" s="45">
        <f t="shared" si="3"/>
        <v>0</v>
      </c>
      <c r="E38" s="46"/>
      <c r="F38" s="46"/>
      <c r="G38" s="47"/>
    </row>
    <row r="39" spans="1:19" x14ac:dyDescent="0.3">
      <c r="A39" s="83"/>
      <c r="B39" s="43" t="s">
        <v>85</v>
      </c>
      <c r="C39" s="44">
        <f t="shared" si="2"/>
        <v>0</v>
      </c>
      <c r="D39" s="45">
        <f t="shared" si="3"/>
        <v>0</v>
      </c>
      <c r="E39" s="46"/>
      <c r="F39" s="46"/>
      <c r="G39" s="47"/>
    </row>
    <row r="40" spans="1:19" x14ac:dyDescent="0.3">
      <c r="A40" s="83"/>
      <c r="B40" s="43" t="s">
        <v>86</v>
      </c>
      <c r="C40" s="44">
        <f t="shared" si="2"/>
        <v>0</v>
      </c>
      <c r="D40" s="45">
        <f t="shared" si="3"/>
        <v>0</v>
      </c>
      <c r="E40" s="46"/>
      <c r="F40" s="46"/>
      <c r="G40" s="47"/>
    </row>
    <row r="41" spans="1:19" x14ac:dyDescent="0.3">
      <c r="A41" s="83"/>
      <c r="B41" s="43" t="s">
        <v>87</v>
      </c>
      <c r="C41" s="44">
        <f t="shared" si="2"/>
        <v>0</v>
      </c>
      <c r="D41" s="45">
        <f t="shared" si="3"/>
        <v>0</v>
      </c>
      <c r="E41" s="46"/>
      <c r="F41" s="46"/>
      <c r="G41" s="47"/>
    </row>
    <row r="42" spans="1:19" x14ac:dyDescent="0.3">
      <c r="A42" s="83"/>
      <c r="B42" s="43" t="s">
        <v>88</v>
      </c>
      <c r="C42" s="44">
        <f t="shared" si="2"/>
        <v>0</v>
      </c>
      <c r="D42" s="45">
        <f t="shared" si="3"/>
        <v>0</v>
      </c>
      <c r="E42" s="46"/>
      <c r="F42" s="46"/>
      <c r="G42" s="47"/>
    </row>
    <row r="43" spans="1:19" x14ac:dyDescent="0.3">
      <c r="A43" s="83"/>
      <c r="B43" s="43" t="s">
        <v>89</v>
      </c>
      <c r="C43" s="44">
        <f t="shared" si="2"/>
        <v>0</v>
      </c>
      <c r="D43" s="45">
        <f t="shared" si="3"/>
        <v>0</v>
      </c>
      <c r="E43" s="30"/>
      <c r="F43" s="50"/>
      <c r="G43" s="51"/>
    </row>
    <row r="44" spans="1:19" x14ac:dyDescent="0.3">
      <c r="A44" s="83"/>
      <c r="B44" s="43" t="s">
        <v>90</v>
      </c>
      <c r="C44" s="44">
        <f t="shared" si="2"/>
        <v>0</v>
      </c>
      <c r="D44" s="45">
        <f t="shared" si="3"/>
        <v>0</v>
      </c>
      <c r="E44" s="30"/>
      <c r="F44" s="50"/>
      <c r="G44" s="51"/>
    </row>
    <row r="45" spans="1:19" x14ac:dyDescent="0.3">
      <c r="A45" s="83"/>
      <c r="B45" s="43" t="s">
        <v>91</v>
      </c>
      <c r="C45" s="44">
        <f t="shared" si="2"/>
        <v>0</v>
      </c>
      <c r="D45" s="45">
        <f t="shared" si="3"/>
        <v>0</v>
      </c>
      <c r="E45" s="30"/>
      <c r="F45" s="50"/>
      <c r="G45" s="30"/>
      <c r="H45" s="52"/>
      <c r="K45" s="4"/>
    </row>
    <row r="46" spans="1:19" x14ac:dyDescent="0.3">
      <c r="A46" s="83"/>
      <c r="B46" s="43" t="s">
        <v>92</v>
      </c>
      <c r="C46" s="44">
        <f t="shared" si="2"/>
        <v>0</v>
      </c>
      <c r="D46" s="45">
        <f t="shared" si="3"/>
        <v>0</v>
      </c>
      <c r="E46" s="30"/>
      <c r="F46" s="50"/>
      <c r="G46" s="30"/>
      <c r="H46" s="52"/>
    </row>
    <row r="47" spans="1:19" x14ac:dyDescent="0.3">
      <c r="A47" s="83"/>
      <c r="B47" s="43" t="s">
        <v>93</v>
      </c>
      <c r="C47" s="44">
        <f t="shared" si="2"/>
        <v>0</v>
      </c>
      <c r="D47" s="45">
        <f t="shared" si="3"/>
        <v>0</v>
      </c>
      <c r="E47" s="30"/>
      <c r="F47" s="50"/>
      <c r="G47" s="51"/>
      <c r="H47" s="52"/>
    </row>
    <row r="48" spans="1:19" x14ac:dyDescent="0.3">
      <c r="A48" s="83"/>
      <c r="B48" s="43" t="s">
        <v>94</v>
      </c>
      <c r="C48" s="44">
        <f t="shared" si="2"/>
        <v>0</v>
      </c>
      <c r="D48" s="45">
        <f t="shared" si="3"/>
        <v>0</v>
      </c>
      <c r="E48" s="30"/>
      <c r="F48" s="50"/>
      <c r="G48" s="51"/>
      <c r="H48" s="52"/>
    </row>
    <row r="49" spans="1:8" x14ac:dyDescent="0.3">
      <c r="A49" s="83"/>
      <c r="B49" s="43" t="s">
        <v>95</v>
      </c>
      <c r="C49" s="44">
        <f t="shared" si="2"/>
        <v>0</v>
      </c>
      <c r="D49" s="45">
        <f t="shared" si="3"/>
        <v>0</v>
      </c>
      <c r="E49" s="30"/>
      <c r="F49" s="50"/>
      <c r="G49" s="51"/>
      <c r="H49" s="52"/>
    </row>
    <row r="50" spans="1:8" x14ac:dyDescent="0.3">
      <c r="A50" s="83"/>
      <c r="B50" s="43" t="s">
        <v>96</v>
      </c>
      <c r="C50" s="44">
        <f t="shared" si="2"/>
        <v>0</v>
      </c>
      <c r="D50" s="45">
        <f t="shared" si="3"/>
        <v>0</v>
      </c>
      <c r="E50" s="30"/>
      <c r="F50" s="50"/>
      <c r="G50" s="51"/>
      <c r="H50" s="52"/>
    </row>
    <row r="51" spans="1:8" x14ac:dyDescent="0.3">
      <c r="A51" s="83"/>
      <c r="B51" s="43" t="s">
        <v>97</v>
      </c>
      <c r="C51" s="44">
        <f t="shared" si="2"/>
        <v>0</v>
      </c>
      <c r="D51" s="45">
        <f t="shared" si="3"/>
        <v>0</v>
      </c>
      <c r="E51" s="30"/>
      <c r="F51" s="50"/>
      <c r="G51" s="51"/>
      <c r="H51" s="52"/>
    </row>
    <row r="52" spans="1:8" x14ac:dyDescent="0.3">
      <c r="A52" s="83"/>
      <c r="B52" s="43" t="s">
        <v>98</v>
      </c>
      <c r="C52" s="44">
        <f t="shared" si="2"/>
        <v>0</v>
      </c>
      <c r="D52" s="45">
        <f t="shared" si="3"/>
        <v>0</v>
      </c>
      <c r="E52" s="30"/>
      <c r="F52" s="50"/>
      <c r="G52" s="51"/>
      <c r="H52" s="52"/>
    </row>
    <row r="53" spans="1:8" x14ac:dyDescent="0.3">
      <c r="A53" s="83"/>
      <c r="B53" s="43" t="s">
        <v>99</v>
      </c>
      <c r="C53" s="44">
        <f t="shared" si="2"/>
        <v>0</v>
      </c>
      <c r="D53" s="45">
        <f t="shared" si="3"/>
        <v>0</v>
      </c>
      <c r="E53" s="30"/>
      <c r="F53" s="50"/>
      <c r="G53" s="51"/>
    </row>
    <row r="54" spans="1:8" x14ac:dyDescent="0.3">
      <c r="A54" s="84" t="s">
        <v>100</v>
      </c>
      <c r="B54" s="43" t="s">
        <v>101</v>
      </c>
      <c r="C54" s="44">
        <f t="shared" si="2"/>
        <v>0</v>
      </c>
      <c r="D54" s="45">
        <f t="shared" si="3"/>
        <v>0</v>
      </c>
      <c r="E54" s="30"/>
      <c r="F54" s="50"/>
      <c r="G54" s="51"/>
    </row>
    <row r="55" spans="1:8" x14ac:dyDescent="0.3">
      <c r="A55" s="85"/>
      <c r="B55" s="43" t="s">
        <v>102</v>
      </c>
      <c r="C55" s="44">
        <f t="shared" si="2"/>
        <v>0</v>
      </c>
      <c r="D55" s="45">
        <f t="shared" si="3"/>
        <v>0</v>
      </c>
      <c r="E55" s="30"/>
      <c r="F55" s="50"/>
      <c r="G55" s="51"/>
    </row>
    <row r="56" spans="1:8" x14ac:dyDescent="0.3">
      <c r="A56" s="85"/>
      <c r="B56" s="43" t="s">
        <v>103</v>
      </c>
      <c r="C56" s="44">
        <f t="shared" si="2"/>
        <v>0</v>
      </c>
      <c r="D56" s="45">
        <f t="shared" si="3"/>
        <v>0</v>
      </c>
      <c r="E56" s="30"/>
      <c r="F56" s="50"/>
      <c r="G56" s="51"/>
    </row>
    <row r="57" spans="1:8" x14ac:dyDescent="0.3">
      <c r="A57" s="85"/>
      <c r="B57" s="43" t="s">
        <v>104</v>
      </c>
      <c r="C57" s="44">
        <f t="shared" si="2"/>
        <v>0</v>
      </c>
      <c r="D57" s="45">
        <f t="shared" si="3"/>
        <v>0</v>
      </c>
      <c r="E57" s="30"/>
      <c r="F57" s="50"/>
      <c r="G57" s="51"/>
    </row>
    <row r="58" spans="1:8" x14ac:dyDescent="0.3">
      <c r="A58" s="86"/>
      <c r="B58" s="43" t="s">
        <v>105</v>
      </c>
      <c r="C58" s="44">
        <f t="shared" si="2"/>
        <v>0</v>
      </c>
      <c r="D58" s="45">
        <f t="shared" si="3"/>
        <v>0</v>
      </c>
      <c r="E58" s="30"/>
      <c r="F58" s="50"/>
      <c r="G58" s="51"/>
    </row>
    <row r="59" spans="1:8" ht="17.25" customHeight="1" x14ac:dyDescent="0.3">
      <c r="A59" s="87" t="s">
        <v>106</v>
      </c>
      <c r="B59" s="87"/>
      <c r="C59" s="53"/>
      <c r="D59" s="54">
        <f>F59</f>
        <v>0</v>
      </c>
      <c r="E59" s="55">
        <f t="shared" ref="E59" si="4">SUM(E5:E58)</f>
        <v>0</v>
      </c>
      <c r="F59" s="55">
        <f>SUM(F5:F58)</f>
        <v>0</v>
      </c>
      <c r="G59" s="56"/>
    </row>
    <row r="60" spans="1:8" ht="76.5" customHeight="1" x14ac:dyDescent="0.3">
      <c r="A60" s="88"/>
      <c r="B60" s="88"/>
      <c r="C60" s="30" t="s">
        <v>107</v>
      </c>
      <c r="D60" s="57" t="e">
        <f>F59+#REF!+#REF!+#REF!+#REF!+#REF!</f>
        <v>#REF!</v>
      </c>
      <c r="E60" s="89"/>
      <c r="F60" s="90"/>
      <c r="G60" s="30"/>
    </row>
    <row r="61" spans="1:8" x14ac:dyDescent="0.3">
      <c r="B61" s="58"/>
      <c r="C61" s="30"/>
      <c r="D61" s="50"/>
    </row>
    <row r="62" spans="1:8" x14ac:dyDescent="0.3">
      <c r="B62" s="4"/>
      <c r="C62" s="30" t="s">
        <v>108</v>
      </c>
      <c r="D62" s="55">
        <v>40000000</v>
      </c>
      <c r="E62" s="38"/>
      <c r="F62" s="38"/>
      <c r="G62" s="38"/>
    </row>
    <row r="63" spans="1:8" x14ac:dyDescent="0.3">
      <c r="B63" s="4"/>
      <c r="C63" s="30" t="s">
        <v>109</v>
      </c>
      <c r="D63" s="55"/>
      <c r="E63" s="38"/>
      <c r="F63" s="38"/>
      <c r="G63" s="38"/>
    </row>
    <row r="64" spans="1:8" x14ac:dyDescent="0.3">
      <c r="C64" s="30" t="s">
        <v>110</v>
      </c>
      <c r="D64" s="55">
        <f>D62-D59</f>
        <v>40000000</v>
      </c>
      <c r="E64" s="38"/>
      <c r="F64" s="38"/>
      <c r="G64" s="38"/>
    </row>
    <row r="65" spans="4:4" x14ac:dyDescent="0.3">
      <c r="D65" s="4"/>
    </row>
    <row r="66" spans="4:4" x14ac:dyDescent="0.3">
      <c r="D66" s="4"/>
    </row>
  </sheetData>
  <mergeCells count="11">
    <mergeCell ref="A60:B60"/>
    <mergeCell ref="E60:F60"/>
    <mergeCell ref="G2:G4"/>
    <mergeCell ref="A5:A20"/>
    <mergeCell ref="A21:A53"/>
    <mergeCell ref="A54:A58"/>
    <mergeCell ref="A59:B59"/>
    <mergeCell ref="A2:B4"/>
    <mergeCell ref="C2:D3"/>
    <mergeCell ref="E2:F2"/>
    <mergeCell ref="E3:F3"/>
  </mergeCells>
  <phoneticPr fontId="11" type="noConversion"/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월별현황</vt:lpstr>
      <vt:lpstr>1.~8.항목별 사용 세부내역</vt:lpstr>
      <vt:lpstr>3. 개인보호구 및 안전장구 구입비 세부내역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2023-08-21T02:17:51Z</dcterms:created>
  <dcterms:modified xsi:type="dcterms:W3CDTF">2026-05-12T07:01:07Z</dcterms:modified>
</cp:coreProperties>
</file>