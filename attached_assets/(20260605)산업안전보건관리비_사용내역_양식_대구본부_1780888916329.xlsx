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bwog\OneDrive\Desktop\"/>
    </mc:Choice>
  </mc:AlternateContent>
  <xr:revisionPtr revIDLastSave="0" documentId="13_ncr:1_{EFEAA52A-5E19-499B-AAE1-1A0A98472028}" xr6:coauthVersionLast="36" xr6:coauthVersionMax="36" xr10:uidLastSave="{00000000-0000-0000-0000-000000000000}"/>
  <bookViews>
    <workbookView xWindow="0" yWindow="0" windowWidth="28800" windowHeight="12390" tabRatio="500" activeTab="4" xr2:uid="{00000000-000D-0000-FFFF-FFFF00000000}"/>
  </bookViews>
  <sheets>
    <sheet name="1.지출통계" sheetId="1" r:id="rId1"/>
    <sheet name="2.예산입력" sheetId="2" r:id="rId2"/>
    <sheet name="3.예산대비_지출통계" sheetId="3" r:id="rId3"/>
    <sheet name="전사_예산대비요약" sheetId="4" state="hidden" r:id="rId4"/>
    <sheet name="사용내역" sheetId="5" r:id="rId5"/>
    <sheet name="드롭다운 목록" sheetId="6" state="hidden" r:id="rId6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2" i="5" l="1"/>
  <c r="E31" i="5"/>
  <c r="B13" i="5" l="1"/>
  <c r="E13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2" i="5"/>
  <c r="B11" i="5"/>
  <c r="B10" i="5"/>
  <c r="B9" i="5"/>
  <c r="B8" i="5"/>
  <c r="B7" i="5"/>
  <c r="B6" i="5"/>
  <c r="B5" i="5"/>
  <c r="B4" i="5"/>
  <c r="B3" i="5"/>
  <c r="E8" i="5"/>
  <c r="E7" i="5"/>
  <c r="E14" i="5"/>
  <c r="E15" i="5"/>
  <c r="E19" i="5"/>
  <c r="E18" i="5"/>
  <c r="E17" i="5"/>
  <c r="E16" i="5"/>
  <c r="E25" i="5"/>
  <c r="E27" i="5"/>
  <c r="E28" i="5"/>
  <c r="E29" i="5"/>
  <c r="C45" i="2" l="1"/>
  <c r="C46" i="2"/>
  <c r="C47" i="2"/>
  <c r="C48" i="2"/>
  <c r="C49" i="2"/>
  <c r="C50" i="3" s="1"/>
  <c r="F50" i="3" s="1"/>
  <c r="C50" i="2"/>
  <c r="C51" i="3" s="1"/>
  <c r="F51" i="3" s="1"/>
  <c r="C51" i="2"/>
  <c r="C52" i="2"/>
  <c r="C53" i="3" s="1"/>
  <c r="F53" i="3" s="1"/>
  <c r="C44" i="2"/>
  <c r="C45" i="3" s="1"/>
  <c r="F45" i="3" s="1"/>
  <c r="C35" i="2"/>
  <c r="C36" i="2"/>
  <c r="C37" i="2"/>
  <c r="C38" i="2"/>
  <c r="C39" i="3" s="1"/>
  <c r="F39" i="3" s="1"/>
  <c r="C39" i="2"/>
  <c r="C40" i="3" s="1"/>
  <c r="F40" i="3" s="1"/>
  <c r="C40" i="2"/>
  <c r="C41" i="2"/>
  <c r="C42" i="3" s="1"/>
  <c r="F42" i="3" s="1"/>
  <c r="C42" i="2"/>
  <c r="C34" i="2"/>
  <c r="C35" i="3" s="1"/>
  <c r="F35" i="3" s="1"/>
  <c r="C25" i="2"/>
  <c r="C26" i="2"/>
  <c r="C27" i="2"/>
  <c r="C28" i="2"/>
  <c r="C29" i="2"/>
  <c r="C31" i="3"/>
  <c r="C31" i="2"/>
  <c r="C32" i="3" s="1"/>
  <c r="F32" i="3" s="1"/>
  <c r="C32" i="2"/>
  <c r="C33" i="3" s="1"/>
  <c r="F33" i="3" s="1"/>
  <c r="C24" i="2"/>
  <c r="C15" i="2"/>
  <c r="C16" i="2"/>
  <c r="C17" i="2"/>
  <c r="C18" i="2"/>
  <c r="C19" i="2"/>
  <c r="B19" i="4" s="1"/>
  <c r="C20" i="2"/>
  <c r="C21" i="2"/>
  <c r="C22" i="2"/>
  <c r="C23" i="3" s="1"/>
  <c r="F23" i="3" s="1"/>
  <c r="C14" i="2"/>
  <c r="C5" i="2"/>
  <c r="B15" i="4" s="1"/>
  <c r="F15" i="4" s="1"/>
  <c r="C6" i="2"/>
  <c r="B16" i="4" s="1"/>
  <c r="C7" i="2"/>
  <c r="C8" i="2"/>
  <c r="C9" i="3" s="1"/>
  <c r="F9" i="3" s="1"/>
  <c r="C9" i="2"/>
  <c r="C10" i="2"/>
  <c r="C11" i="2"/>
  <c r="C12" i="3" s="1"/>
  <c r="F12" i="3" s="1"/>
  <c r="C12" i="2"/>
  <c r="C13" i="3" s="1"/>
  <c r="F13" i="3" s="1"/>
  <c r="C4" i="2"/>
  <c r="E39" i="5"/>
  <c r="E38" i="5"/>
  <c r="E37" i="5"/>
  <c r="E36" i="5"/>
  <c r="E35" i="5"/>
  <c r="E34" i="5"/>
  <c r="E33" i="5"/>
  <c r="E30" i="5"/>
  <c r="E24" i="5"/>
  <c r="E23" i="5"/>
  <c r="E26" i="5"/>
  <c r="E22" i="5"/>
  <c r="E21" i="5"/>
  <c r="E20" i="5"/>
  <c r="E12" i="5"/>
  <c r="E11" i="5"/>
  <c r="E10" i="5"/>
  <c r="E9" i="5"/>
  <c r="E6" i="5"/>
  <c r="E5" i="5"/>
  <c r="E4" i="5"/>
  <c r="E3" i="5"/>
  <c r="C49" i="3"/>
  <c r="F49" i="3" s="1"/>
  <c r="C48" i="3"/>
  <c r="F48" i="3" s="1"/>
  <c r="C47" i="3"/>
  <c r="C46" i="3"/>
  <c r="F46" i="3" s="1"/>
  <c r="C41" i="3"/>
  <c r="F41" i="3" s="1"/>
  <c r="C38" i="3"/>
  <c r="F38" i="3" s="1"/>
  <c r="C37" i="3"/>
  <c r="F37" i="3" s="1"/>
  <c r="C36" i="3"/>
  <c r="F36" i="3" s="1"/>
  <c r="C30" i="3"/>
  <c r="F30" i="3" s="1"/>
  <c r="C29" i="3"/>
  <c r="F29" i="3" s="1"/>
  <c r="C28" i="3"/>
  <c r="F28" i="3" s="1"/>
  <c r="C27" i="3"/>
  <c r="F27" i="3" s="1"/>
  <c r="C26" i="3"/>
  <c r="F26" i="3" s="1"/>
  <c r="C25" i="3"/>
  <c r="F25" i="3" s="1"/>
  <c r="C22" i="3"/>
  <c r="F22" i="3" s="1"/>
  <c r="C21" i="3"/>
  <c r="F21" i="3" s="1"/>
  <c r="C19" i="3"/>
  <c r="F19" i="3" s="1"/>
  <c r="C18" i="3"/>
  <c r="F18" i="3" s="1"/>
  <c r="C17" i="3"/>
  <c r="F17" i="3" s="1"/>
  <c r="C16" i="3"/>
  <c r="F16" i="3" s="1"/>
  <c r="C15" i="3"/>
  <c r="F15" i="3" s="1"/>
  <c r="C11" i="3"/>
  <c r="F11" i="3" s="1"/>
  <c r="C6" i="3"/>
  <c r="F6" i="3" s="1"/>
  <c r="C5" i="3"/>
  <c r="F5" i="3" s="1"/>
  <c r="E53" i="2"/>
  <c r="D53" i="2"/>
  <c r="E43" i="2"/>
  <c r="D43" i="2"/>
  <c r="E33" i="2"/>
  <c r="D33" i="2"/>
  <c r="E23" i="2"/>
  <c r="D23" i="2"/>
  <c r="E13" i="2"/>
  <c r="D13" i="2"/>
  <c r="P52" i="1"/>
  <c r="P51" i="1"/>
  <c r="P50" i="1"/>
  <c r="P49" i="1"/>
  <c r="P48" i="1"/>
  <c r="P47" i="1"/>
  <c r="P46" i="1"/>
  <c r="P45" i="1"/>
  <c r="P44" i="1"/>
  <c r="P42" i="1"/>
  <c r="N42" i="1"/>
  <c r="R43" i="3" s="1"/>
  <c r="M42" i="1"/>
  <c r="Q43" i="3" s="1"/>
  <c r="L42" i="1"/>
  <c r="P43" i="3" s="1"/>
  <c r="K42" i="1"/>
  <c r="O43" i="3" s="1"/>
  <c r="J42" i="1"/>
  <c r="N43" i="3" s="1"/>
  <c r="I42" i="1"/>
  <c r="M43" i="3" s="1"/>
  <c r="H42" i="1"/>
  <c r="L43" i="3" s="1"/>
  <c r="G42" i="1"/>
  <c r="K43" i="3" s="1"/>
  <c r="F42" i="1"/>
  <c r="J43" i="3" s="1"/>
  <c r="E42" i="1"/>
  <c r="I43" i="3" s="1"/>
  <c r="D42" i="1"/>
  <c r="H43" i="3" s="1"/>
  <c r="C42" i="1"/>
  <c r="G43" i="3" s="1"/>
  <c r="P41" i="1"/>
  <c r="N41" i="1"/>
  <c r="R42" i="3" s="1"/>
  <c r="M41" i="1"/>
  <c r="Q42" i="3" s="1"/>
  <c r="L41" i="1"/>
  <c r="P42" i="3" s="1"/>
  <c r="K41" i="1"/>
  <c r="O42" i="3" s="1"/>
  <c r="J41" i="1"/>
  <c r="N42" i="3" s="1"/>
  <c r="I41" i="1"/>
  <c r="M42" i="3" s="1"/>
  <c r="H41" i="1"/>
  <c r="L42" i="3" s="1"/>
  <c r="G41" i="1"/>
  <c r="K42" i="3" s="1"/>
  <c r="F41" i="1"/>
  <c r="J42" i="3" s="1"/>
  <c r="E41" i="1"/>
  <c r="I42" i="3" s="1"/>
  <c r="D41" i="1"/>
  <c r="H42" i="3" s="1"/>
  <c r="C41" i="1"/>
  <c r="G42" i="3" s="1"/>
  <c r="P40" i="1"/>
  <c r="N40" i="1"/>
  <c r="R41" i="3" s="1"/>
  <c r="M40" i="1"/>
  <c r="Q41" i="3" s="1"/>
  <c r="L40" i="1"/>
  <c r="P41" i="3" s="1"/>
  <c r="K40" i="1"/>
  <c r="O41" i="3" s="1"/>
  <c r="J40" i="1"/>
  <c r="N41" i="3" s="1"/>
  <c r="I40" i="1"/>
  <c r="M41" i="3" s="1"/>
  <c r="H40" i="1"/>
  <c r="L41" i="3" s="1"/>
  <c r="G40" i="1"/>
  <c r="K41" i="3" s="1"/>
  <c r="F40" i="1"/>
  <c r="J41" i="3" s="1"/>
  <c r="E40" i="1"/>
  <c r="I41" i="3" s="1"/>
  <c r="D40" i="1"/>
  <c r="H41" i="3" s="1"/>
  <c r="C40" i="1"/>
  <c r="G41" i="3" s="1"/>
  <c r="P39" i="1"/>
  <c r="N39" i="1"/>
  <c r="R40" i="3" s="1"/>
  <c r="M39" i="1"/>
  <c r="Q40" i="3" s="1"/>
  <c r="L39" i="1"/>
  <c r="P40" i="3" s="1"/>
  <c r="K39" i="1"/>
  <c r="O40" i="3" s="1"/>
  <c r="J39" i="1"/>
  <c r="N40" i="3" s="1"/>
  <c r="I39" i="1"/>
  <c r="M40" i="3" s="1"/>
  <c r="H39" i="1"/>
  <c r="L40" i="3" s="1"/>
  <c r="G39" i="1"/>
  <c r="K40" i="3" s="1"/>
  <c r="F39" i="1"/>
  <c r="J40" i="3" s="1"/>
  <c r="E39" i="1"/>
  <c r="I40" i="3" s="1"/>
  <c r="D39" i="1"/>
  <c r="H40" i="3" s="1"/>
  <c r="C39" i="1"/>
  <c r="G40" i="3" s="1"/>
  <c r="P38" i="1"/>
  <c r="N38" i="1"/>
  <c r="R39" i="3" s="1"/>
  <c r="M38" i="1"/>
  <c r="Q39" i="3" s="1"/>
  <c r="L38" i="1"/>
  <c r="P39" i="3" s="1"/>
  <c r="K38" i="1"/>
  <c r="O39" i="3" s="1"/>
  <c r="J38" i="1"/>
  <c r="N39" i="3" s="1"/>
  <c r="I38" i="1"/>
  <c r="M39" i="3" s="1"/>
  <c r="H38" i="1"/>
  <c r="L39" i="3" s="1"/>
  <c r="G38" i="1"/>
  <c r="K39" i="3" s="1"/>
  <c r="F38" i="1"/>
  <c r="J39" i="3" s="1"/>
  <c r="E38" i="1"/>
  <c r="I39" i="3" s="1"/>
  <c r="D38" i="1"/>
  <c r="H39" i="3" s="1"/>
  <c r="C38" i="1"/>
  <c r="G39" i="3" s="1"/>
  <c r="P37" i="1"/>
  <c r="N37" i="1"/>
  <c r="R38" i="3" s="1"/>
  <c r="M37" i="1"/>
  <c r="Q38" i="3" s="1"/>
  <c r="L37" i="1"/>
  <c r="P38" i="3" s="1"/>
  <c r="K37" i="1"/>
  <c r="O38" i="3" s="1"/>
  <c r="J37" i="1"/>
  <c r="N38" i="3" s="1"/>
  <c r="I37" i="1"/>
  <c r="M38" i="3" s="1"/>
  <c r="H37" i="1"/>
  <c r="L38" i="3" s="1"/>
  <c r="G37" i="1"/>
  <c r="K38" i="3" s="1"/>
  <c r="F37" i="1"/>
  <c r="J38" i="3" s="1"/>
  <c r="E37" i="1"/>
  <c r="I38" i="3" s="1"/>
  <c r="D37" i="1"/>
  <c r="H38" i="3" s="1"/>
  <c r="C37" i="1"/>
  <c r="G38" i="3" s="1"/>
  <c r="P36" i="1"/>
  <c r="N36" i="1"/>
  <c r="R37" i="3" s="1"/>
  <c r="M36" i="1"/>
  <c r="Q37" i="3" s="1"/>
  <c r="L36" i="1"/>
  <c r="P37" i="3" s="1"/>
  <c r="K36" i="1"/>
  <c r="O37" i="3" s="1"/>
  <c r="J36" i="1"/>
  <c r="N37" i="3" s="1"/>
  <c r="I36" i="1"/>
  <c r="M37" i="3" s="1"/>
  <c r="H36" i="1"/>
  <c r="L37" i="3" s="1"/>
  <c r="G36" i="1"/>
  <c r="K37" i="3" s="1"/>
  <c r="F36" i="1"/>
  <c r="J37" i="3" s="1"/>
  <c r="E36" i="1"/>
  <c r="I37" i="3" s="1"/>
  <c r="D36" i="1"/>
  <c r="H37" i="3" s="1"/>
  <c r="C36" i="1"/>
  <c r="G37" i="3" s="1"/>
  <c r="P35" i="1"/>
  <c r="N35" i="1"/>
  <c r="R36" i="3" s="1"/>
  <c r="M35" i="1"/>
  <c r="Q36" i="3" s="1"/>
  <c r="L35" i="1"/>
  <c r="P36" i="3" s="1"/>
  <c r="K35" i="1"/>
  <c r="O36" i="3" s="1"/>
  <c r="J35" i="1"/>
  <c r="N36" i="3" s="1"/>
  <c r="I35" i="1"/>
  <c r="M36" i="3" s="1"/>
  <c r="H35" i="1"/>
  <c r="L36" i="3" s="1"/>
  <c r="G35" i="1"/>
  <c r="K36" i="3" s="1"/>
  <c r="F35" i="1"/>
  <c r="J36" i="3" s="1"/>
  <c r="E35" i="1"/>
  <c r="I36" i="3" s="1"/>
  <c r="D35" i="1"/>
  <c r="H36" i="3" s="1"/>
  <c r="C35" i="1"/>
  <c r="G36" i="3" s="1"/>
  <c r="P34" i="1"/>
  <c r="N34" i="1"/>
  <c r="R35" i="3" s="1"/>
  <c r="M34" i="1"/>
  <c r="Q35" i="3" s="1"/>
  <c r="L34" i="1"/>
  <c r="P35" i="3" s="1"/>
  <c r="K34" i="1"/>
  <c r="O35" i="3" s="1"/>
  <c r="J34" i="1"/>
  <c r="N35" i="3" s="1"/>
  <c r="I34" i="1"/>
  <c r="M35" i="3" s="1"/>
  <c r="H34" i="1"/>
  <c r="L35" i="3" s="1"/>
  <c r="G34" i="1"/>
  <c r="K35" i="3" s="1"/>
  <c r="F34" i="1"/>
  <c r="J35" i="3" s="1"/>
  <c r="E34" i="1"/>
  <c r="I35" i="3" s="1"/>
  <c r="D34" i="1"/>
  <c r="H35" i="3" s="1"/>
  <c r="C34" i="1"/>
  <c r="G35" i="3" s="1"/>
  <c r="P32" i="1"/>
  <c r="N32" i="1"/>
  <c r="R33" i="3" s="1"/>
  <c r="M32" i="1"/>
  <c r="Q33" i="3" s="1"/>
  <c r="L32" i="1"/>
  <c r="P33" i="3" s="1"/>
  <c r="K32" i="1"/>
  <c r="O33" i="3" s="1"/>
  <c r="J32" i="1"/>
  <c r="N33" i="3" s="1"/>
  <c r="I32" i="1"/>
  <c r="M33" i="3" s="1"/>
  <c r="H32" i="1"/>
  <c r="L33" i="3" s="1"/>
  <c r="G32" i="1"/>
  <c r="K33" i="3" s="1"/>
  <c r="F32" i="1"/>
  <c r="J33" i="3" s="1"/>
  <c r="E32" i="1"/>
  <c r="I33" i="3" s="1"/>
  <c r="D32" i="1"/>
  <c r="H33" i="3" s="1"/>
  <c r="C32" i="1"/>
  <c r="G33" i="3" s="1"/>
  <c r="P31" i="1"/>
  <c r="N31" i="1"/>
  <c r="R32" i="3" s="1"/>
  <c r="M31" i="1"/>
  <c r="Q32" i="3" s="1"/>
  <c r="L31" i="1"/>
  <c r="P32" i="3" s="1"/>
  <c r="K31" i="1"/>
  <c r="O32" i="3" s="1"/>
  <c r="J31" i="1"/>
  <c r="N32" i="3" s="1"/>
  <c r="I31" i="1"/>
  <c r="M32" i="3" s="1"/>
  <c r="H31" i="1"/>
  <c r="L32" i="3" s="1"/>
  <c r="G31" i="1"/>
  <c r="K32" i="3" s="1"/>
  <c r="F31" i="1"/>
  <c r="J32" i="3" s="1"/>
  <c r="E31" i="1"/>
  <c r="I32" i="3" s="1"/>
  <c r="D31" i="1"/>
  <c r="H32" i="3" s="1"/>
  <c r="C31" i="1"/>
  <c r="G32" i="3" s="1"/>
  <c r="P30" i="1"/>
  <c r="N30" i="1"/>
  <c r="R31" i="3" s="1"/>
  <c r="M30" i="1"/>
  <c r="Q31" i="3" s="1"/>
  <c r="L30" i="1"/>
  <c r="P31" i="3" s="1"/>
  <c r="K30" i="1"/>
  <c r="O31" i="3" s="1"/>
  <c r="J30" i="1"/>
  <c r="N31" i="3" s="1"/>
  <c r="I30" i="1"/>
  <c r="M31" i="3" s="1"/>
  <c r="H30" i="1"/>
  <c r="L31" i="3" s="1"/>
  <c r="G30" i="1"/>
  <c r="K31" i="3" s="1"/>
  <c r="F30" i="1"/>
  <c r="J31" i="3" s="1"/>
  <c r="E30" i="1"/>
  <c r="I31" i="3" s="1"/>
  <c r="D30" i="1"/>
  <c r="H31" i="3" s="1"/>
  <c r="C30" i="1"/>
  <c r="G31" i="3" s="1"/>
  <c r="P29" i="1"/>
  <c r="N29" i="1"/>
  <c r="R30" i="3" s="1"/>
  <c r="M29" i="1"/>
  <c r="Q30" i="3" s="1"/>
  <c r="L29" i="1"/>
  <c r="P30" i="3" s="1"/>
  <c r="K29" i="1"/>
  <c r="O30" i="3" s="1"/>
  <c r="J29" i="1"/>
  <c r="N30" i="3" s="1"/>
  <c r="I29" i="1"/>
  <c r="M30" i="3" s="1"/>
  <c r="H29" i="1"/>
  <c r="L30" i="3" s="1"/>
  <c r="G29" i="1"/>
  <c r="K30" i="3" s="1"/>
  <c r="F29" i="1"/>
  <c r="J30" i="3" s="1"/>
  <c r="E29" i="1"/>
  <c r="I30" i="3" s="1"/>
  <c r="D29" i="1"/>
  <c r="H30" i="3" s="1"/>
  <c r="C29" i="1"/>
  <c r="G30" i="3" s="1"/>
  <c r="P28" i="1"/>
  <c r="N28" i="1"/>
  <c r="R29" i="3" s="1"/>
  <c r="M28" i="1"/>
  <c r="Q29" i="3" s="1"/>
  <c r="L28" i="1"/>
  <c r="P29" i="3" s="1"/>
  <c r="K28" i="1"/>
  <c r="O29" i="3" s="1"/>
  <c r="J28" i="1"/>
  <c r="N29" i="3" s="1"/>
  <c r="I28" i="1"/>
  <c r="M29" i="3" s="1"/>
  <c r="H28" i="1"/>
  <c r="L29" i="3" s="1"/>
  <c r="G28" i="1"/>
  <c r="K29" i="3" s="1"/>
  <c r="F28" i="1"/>
  <c r="J29" i="3" s="1"/>
  <c r="E28" i="1"/>
  <c r="I29" i="3" s="1"/>
  <c r="D28" i="1"/>
  <c r="H29" i="3" s="1"/>
  <c r="C28" i="1"/>
  <c r="G29" i="3" s="1"/>
  <c r="P27" i="1"/>
  <c r="N27" i="1"/>
  <c r="R28" i="3" s="1"/>
  <c r="M27" i="1"/>
  <c r="Q28" i="3" s="1"/>
  <c r="L27" i="1"/>
  <c r="P28" i="3" s="1"/>
  <c r="K27" i="1"/>
  <c r="O28" i="3" s="1"/>
  <c r="J27" i="1"/>
  <c r="N28" i="3" s="1"/>
  <c r="I27" i="1"/>
  <c r="M28" i="3" s="1"/>
  <c r="H27" i="1"/>
  <c r="L28" i="3" s="1"/>
  <c r="G27" i="1"/>
  <c r="K28" i="3" s="1"/>
  <c r="F27" i="1"/>
  <c r="J28" i="3" s="1"/>
  <c r="E27" i="1"/>
  <c r="I28" i="3" s="1"/>
  <c r="D27" i="1"/>
  <c r="H28" i="3" s="1"/>
  <c r="C27" i="1"/>
  <c r="G28" i="3" s="1"/>
  <c r="P26" i="1"/>
  <c r="N26" i="1"/>
  <c r="R27" i="3" s="1"/>
  <c r="M26" i="1"/>
  <c r="Q27" i="3" s="1"/>
  <c r="L26" i="1"/>
  <c r="P27" i="3" s="1"/>
  <c r="K26" i="1"/>
  <c r="O27" i="3" s="1"/>
  <c r="J26" i="1"/>
  <c r="N27" i="3" s="1"/>
  <c r="I26" i="1"/>
  <c r="M27" i="3" s="1"/>
  <c r="H26" i="1"/>
  <c r="L27" i="3" s="1"/>
  <c r="G26" i="1"/>
  <c r="K27" i="3" s="1"/>
  <c r="F26" i="1"/>
  <c r="J27" i="3" s="1"/>
  <c r="E26" i="1"/>
  <c r="I27" i="3" s="1"/>
  <c r="D26" i="1"/>
  <c r="H27" i="3" s="1"/>
  <c r="C26" i="1"/>
  <c r="G27" i="3" s="1"/>
  <c r="P25" i="1"/>
  <c r="N25" i="1"/>
  <c r="R26" i="3" s="1"/>
  <c r="M25" i="1"/>
  <c r="Q26" i="3" s="1"/>
  <c r="L25" i="1"/>
  <c r="P26" i="3" s="1"/>
  <c r="K25" i="1"/>
  <c r="O26" i="3" s="1"/>
  <c r="J25" i="1"/>
  <c r="N26" i="3" s="1"/>
  <c r="I25" i="1"/>
  <c r="M26" i="3" s="1"/>
  <c r="H25" i="1"/>
  <c r="L26" i="3" s="1"/>
  <c r="G25" i="1"/>
  <c r="K26" i="3" s="1"/>
  <c r="F25" i="1"/>
  <c r="J26" i="3" s="1"/>
  <c r="E25" i="1"/>
  <c r="I26" i="3" s="1"/>
  <c r="D25" i="1"/>
  <c r="H26" i="3" s="1"/>
  <c r="C25" i="1"/>
  <c r="G26" i="3" s="1"/>
  <c r="P24" i="1"/>
  <c r="N24" i="1"/>
  <c r="R25" i="3" s="1"/>
  <c r="M24" i="1"/>
  <c r="Q25" i="3" s="1"/>
  <c r="L24" i="1"/>
  <c r="P25" i="3" s="1"/>
  <c r="K24" i="1"/>
  <c r="O25" i="3" s="1"/>
  <c r="J24" i="1"/>
  <c r="N25" i="3" s="1"/>
  <c r="I24" i="1"/>
  <c r="M25" i="3" s="1"/>
  <c r="H24" i="1"/>
  <c r="L25" i="3" s="1"/>
  <c r="G24" i="1"/>
  <c r="K25" i="3" s="1"/>
  <c r="F24" i="1"/>
  <c r="J25" i="3" s="1"/>
  <c r="E24" i="1"/>
  <c r="I25" i="3" s="1"/>
  <c r="D24" i="1"/>
  <c r="H25" i="3" s="1"/>
  <c r="C24" i="1"/>
  <c r="G25" i="3" s="1"/>
  <c r="P22" i="1"/>
  <c r="N22" i="1"/>
  <c r="R23" i="3" s="1"/>
  <c r="M22" i="1"/>
  <c r="Q23" i="3" s="1"/>
  <c r="L22" i="1"/>
  <c r="P23" i="3" s="1"/>
  <c r="K22" i="1"/>
  <c r="O23" i="3" s="1"/>
  <c r="J22" i="1"/>
  <c r="N23" i="3" s="1"/>
  <c r="I22" i="1"/>
  <c r="M23" i="3" s="1"/>
  <c r="H22" i="1"/>
  <c r="L23" i="3" s="1"/>
  <c r="G22" i="1"/>
  <c r="K23" i="3" s="1"/>
  <c r="F22" i="1"/>
  <c r="J23" i="3" s="1"/>
  <c r="E22" i="1"/>
  <c r="I23" i="3" s="1"/>
  <c r="D22" i="1"/>
  <c r="H23" i="3" s="1"/>
  <c r="C22" i="1"/>
  <c r="G23" i="3" s="1"/>
  <c r="P21" i="1"/>
  <c r="N21" i="1"/>
  <c r="R22" i="3" s="1"/>
  <c r="M21" i="1"/>
  <c r="Q22" i="3" s="1"/>
  <c r="L21" i="1"/>
  <c r="P22" i="3" s="1"/>
  <c r="K21" i="1"/>
  <c r="O22" i="3" s="1"/>
  <c r="J21" i="1"/>
  <c r="N22" i="3" s="1"/>
  <c r="I21" i="1"/>
  <c r="M22" i="3" s="1"/>
  <c r="H21" i="1"/>
  <c r="L22" i="3" s="1"/>
  <c r="G21" i="1"/>
  <c r="K22" i="3" s="1"/>
  <c r="F21" i="1"/>
  <c r="J22" i="3" s="1"/>
  <c r="E21" i="1"/>
  <c r="I22" i="3" s="1"/>
  <c r="D21" i="1"/>
  <c r="H22" i="3" s="1"/>
  <c r="C21" i="1"/>
  <c r="G22" i="3" s="1"/>
  <c r="P20" i="1"/>
  <c r="N20" i="1"/>
  <c r="R21" i="3" s="1"/>
  <c r="M20" i="1"/>
  <c r="Q21" i="3" s="1"/>
  <c r="L20" i="1"/>
  <c r="P21" i="3" s="1"/>
  <c r="K20" i="1"/>
  <c r="O21" i="3" s="1"/>
  <c r="J20" i="1"/>
  <c r="N21" i="3" s="1"/>
  <c r="I20" i="1"/>
  <c r="M21" i="3" s="1"/>
  <c r="H20" i="1"/>
  <c r="L21" i="3" s="1"/>
  <c r="G20" i="1"/>
  <c r="K21" i="3" s="1"/>
  <c r="F20" i="1"/>
  <c r="J21" i="3" s="1"/>
  <c r="E20" i="1"/>
  <c r="I21" i="3" s="1"/>
  <c r="D20" i="1"/>
  <c r="H21" i="3" s="1"/>
  <c r="C20" i="1"/>
  <c r="G21" i="3" s="1"/>
  <c r="P19" i="1"/>
  <c r="N19" i="1"/>
  <c r="R20" i="3" s="1"/>
  <c r="M19" i="1"/>
  <c r="Q20" i="3" s="1"/>
  <c r="L19" i="1"/>
  <c r="P20" i="3" s="1"/>
  <c r="K19" i="1"/>
  <c r="O20" i="3" s="1"/>
  <c r="J19" i="1"/>
  <c r="N20" i="3" s="1"/>
  <c r="I19" i="1"/>
  <c r="M20" i="3" s="1"/>
  <c r="H19" i="1"/>
  <c r="L20" i="3" s="1"/>
  <c r="G19" i="1"/>
  <c r="K20" i="3" s="1"/>
  <c r="F19" i="1"/>
  <c r="J20" i="3" s="1"/>
  <c r="E19" i="1"/>
  <c r="I20" i="3" s="1"/>
  <c r="D19" i="1"/>
  <c r="H20" i="3" s="1"/>
  <c r="C19" i="1"/>
  <c r="G20" i="3" s="1"/>
  <c r="P18" i="1"/>
  <c r="N18" i="1"/>
  <c r="R19" i="3" s="1"/>
  <c r="M18" i="1"/>
  <c r="Q19" i="3" s="1"/>
  <c r="L18" i="1"/>
  <c r="P19" i="3" s="1"/>
  <c r="K18" i="1"/>
  <c r="O19" i="3" s="1"/>
  <c r="J18" i="1"/>
  <c r="N19" i="3" s="1"/>
  <c r="I18" i="1"/>
  <c r="M19" i="3" s="1"/>
  <c r="H18" i="1"/>
  <c r="L19" i="3" s="1"/>
  <c r="G18" i="1"/>
  <c r="K19" i="3" s="1"/>
  <c r="F18" i="1"/>
  <c r="J19" i="3" s="1"/>
  <c r="E18" i="1"/>
  <c r="I19" i="3" s="1"/>
  <c r="D18" i="1"/>
  <c r="H19" i="3" s="1"/>
  <c r="C18" i="1"/>
  <c r="G19" i="3" s="1"/>
  <c r="P17" i="1"/>
  <c r="N17" i="1"/>
  <c r="R18" i="3" s="1"/>
  <c r="M17" i="1"/>
  <c r="Q18" i="3" s="1"/>
  <c r="L17" i="1"/>
  <c r="P18" i="3" s="1"/>
  <c r="K17" i="1"/>
  <c r="O18" i="3" s="1"/>
  <c r="J17" i="1"/>
  <c r="N18" i="3" s="1"/>
  <c r="I17" i="1"/>
  <c r="M18" i="3" s="1"/>
  <c r="H17" i="1"/>
  <c r="L18" i="3" s="1"/>
  <c r="G17" i="1"/>
  <c r="K18" i="3" s="1"/>
  <c r="F17" i="1"/>
  <c r="J18" i="3" s="1"/>
  <c r="E17" i="1"/>
  <c r="I18" i="3" s="1"/>
  <c r="D17" i="1"/>
  <c r="H18" i="3" s="1"/>
  <c r="C17" i="1"/>
  <c r="G18" i="3" s="1"/>
  <c r="P16" i="1"/>
  <c r="N16" i="1"/>
  <c r="R17" i="3" s="1"/>
  <c r="M16" i="1"/>
  <c r="Q17" i="3" s="1"/>
  <c r="L16" i="1"/>
  <c r="P17" i="3" s="1"/>
  <c r="K16" i="1"/>
  <c r="O17" i="3" s="1"/>
  <c r="J16" i="1"/>
  <c r="N17" i="3" s="1"/>
  <c r="I16" i="1"/>
  <c r="M17" i="3" s="1"/>
  <c r="H16" i="1"/>
  <c r="L17" i="3" s="1"/>
  <c r="G16" i="1"/>
  <c r="K17" i="3" s="1"/>
  <c r="F16" i="1"/>
  <c r="J17" i="3" s="1"/>
  <c r="E16" i="1"/>
  <c r="I17" i="3" s="1"/>
  <c r="D16" i="1"/>
  <c r="H17" i="3" s="1"/>
  <c r="C16" i="1"/>
  <c r="P15" i="1"/>
  <c r="N15" i="1"/>
  <c r="R16" i="3" s="1"/>
  <c r="M15" i="1"/>
  <c r="Q16" i="3" s="1"/>
  <c r="L15" i="1"/>
  <c r="P16" i="3" s="1"/>
  <c r="K15" i="1"/>
  <c r="J15" i="1"/>
  <c r="N16" i="3" s="1"/>
  <c r="I15" i="1"/>
  <c r="M16" i="3" s="1"/>
  <c r="H15" i="1"/>
  <c r="L16" i="3" s="1"/>
  <c r="G15" i="1"/>
  <c r="F15" i="1"/>
  <c r="J16" i="3" s="1"/>
  <c r="E15" i="1"/>
  <c r="I16" i="3" s="1"/>
  <c r="D15" i="1"/>
  <c r="H16" i="3" s="1"/>
  <c r="C15" i="1"/>
  <c r="P14" i="1"/>
  <c r="N14" i="1"/>
  <c r="M14" i="1"/>
  <c r="L14" i="1"/>
  <c r="K14" i="1"/>
  <c r="O15" i="3" s="1"/>
  <c r="J14" i="1"/>
  <c r="I14" i="1"/>
  <c r="M15" i="3" s="1"/>
  <c r="H14" i="1"/>
  <c r="L15" i="3" s="1"/>
  <c r="G14" i="1"/>
  <c r="K15" i="3" s="1"/>
  <c r="F14" i="1"/>
  <c r="E14" i="1"/>
  <c r="D14" i="1"/>
  <c r="C14" i="1"/>
  <c r="G15" i="3" s="1"/>
  <c r="P12" i="1"/>
  <c r="F12" i="1"/>
  <c r="J13" i="3" s="1"/>
  <c r="P11" i="1"/>
  <c r="P10" i="1"/>
  <c r="P9" i="1"/>
  <c r="P8" i="1"/>
  <c r="J8" i="1"/>
  <c r="N9" i="3" s="1"/>
  <c r="P7" i="1"/>
  <c r="P6" i="1"/>
  <c r="P5" i="1"/>
  <c r="P4" i="1"/>
  <c r="L4" i="1"/>
  <c r="P5" i="3" s="1"/>
  <c r="F51" i="1" l="1"/>
  <c r="J52" i="3" s="1"/>
  <c r="L51" i="1"/>
  <c r="P52" i="3" s="1"/>
  <c r="J47" i="1"/>
  <c r="N48" i="3" s="1"/>
  <c r="H49" i="1"/>
  <c r="L50" i="3" s="1"/>
  <c r="J45" i="1"/>
  <c r="N46" i="3" s="1"/>
  <c r="N52" i="1"/>
  <c r="R53" i="3" s="1"/>
  <c r="D45" i="1"/>
  <c r="H46" i="3" s="1"/>
  <c r="H47" i="1"/>
  <c r="L48" i="3" s="1"/>
  <c r="F49" i="1"/>
  <c r="J50" i="3" s="1"/>
  <c r="D51" i="1"/>
  <c r="H52" i="3" s="1"/>
  <c r="L45" i="1"/>
  <c r="P46" i="3" s="1"/>
  <c r="N49" i="1"/>
  <c r="R50" i="3" s="1"/>
  <c r="C48" i="1"/>
  <c r="G49" i="3" s="1"/>
  <c r="N51" i="1"/>
  <c r="R52" i="3" s="1"/>
  <c r="E46" i="1"/>
  <c r="I47" i="3" s="1"/>
  <c r="E48" i="1"/>
  <c r="I49" i="3" s="1"/>
  <c r="C50" i="1"/>
  <c r="G51" i="3" s="1"/>
  <c r="G44" i="1"/>
  <c r="K45" i="3" s="1"/>
  <c r="G46" i="1"/>
  <c r="K47" i="3" s="1"/>
  <c r="K48" i="1"/>
  <c r="O49" i="3" s="1"/>
  <c r="I50" i="1"/>
  <c r="M51" i="3" s="1"/>
  <c r="G52" i="1"/>
  <c r="K53" i="3" s="1"/>
  <c r="I44" i="1"/>
  <c r="M45" i="3" s="1"/>
  <c r="M46" i="1"/>
  <c r="Q47" i="3" s="1"/>
  <c r="M48" i="1"/>
  <c r="Q49" i="3" s="1"/>
  <c r="K50" i="1"/>
  <c r="O51" i="3" s="1"/>
  <c r="I52" i="1"/>
  <c r="M53" i="3" s="1"/>
  <c r="H44" i="1"/>
  <c r="L45" i="3" s="1"/>
  <c r="C45" i="1"/>
  <c r="G46" i="3" s="1"/>
  <c r="K45" i="1"/>
  <c r="O46" i="3" s="1"/>
  <c r="F46" i="1"/>
  <c r="J47" i="3" s="1"/>
  <c r="N46" i="1"/>
  <c r="R47" i="3" s="1"/>
  <c r="I47" i="1"/>
  <c r="M48" i="3" s="1"/>
  <c r="D48" i="1"/>
  <c r="H49" i="3" s="1"/>
  <c r="L48" i="1"/>
  <c r="P49" i="3" s="1"/>
  <c r="G49" i="1"/>
  <c r="K50" i="3" s="1"/>
  <c r="J50" i="1"/>
  <c r="N51" i="3" s="1"/>
  <c r="E51" i="1"/>
  <c r="I52" i="3" s="1"/>
  <c r="M51" i="1"/>
  <c r="Q52" i="3" s="1"/>
  <c r="H52" i="1"/>
  <c r="L53" i="3" s="1"/>
  <c r="J44" i="1"/>
  <c r="N45" i="3" s="1"/>
  <c r="E45" i="1"/>
  <c r="I46" i="3" s="1"/>
  <c r="M45" i="1"/>
  <c r="Q46" i="3" s="1"/>
  <c r="H46" i="1"/>
  <c r="L47" i="3" s="1"/>
  <c r="C47" i="1"/>
  <c r="G48" i="3" s="1"/>
  <c r="K47" i="1"/>
  <c r="O48" i="3" s="1"/>
  <c r="F48" i="1"/>
  <c r="J49" i="3" s="1"/>
  <c r="N48" i="1"/>
  <c r="R49" i="3" s="1"/>
  <c r="I49" i="1"/>
  <c r="M50" i="3" s="1"/>
  <c r="D50" i="1"/>
  <c r="H51" i="3" s="1"/>
  <c r="L50" i="1"/>
  <c r="P51" i="3" s="1"/>
  <c r="G51" i="1"/>
  <c r="K52" i="3" s="1"/>
  <c r="J52" i="1"/>
  <c r="N53" i="3" s="1"/>
  <c r="C44" i="1"/>
  <c r="G45" i="3" s="1"/>
  <c r="K44" i="1"/>
  <c r="O45" i="3" s="1"/>
  <c r="F45" i="1"/>
  <c r="J46" i="3" s="1"/>
  <c r="N45" i="1"/>
  <c r="R46" i="3" s="1"/>
  <c r="I46" i="1"/>
  <c r="M47" i="3" s="1"/>
  <c r="D47" i="1"/>
  <c r="H48" i="3" s="1"/>
  <c r="L47" i="1"/>
  <c r="P48" i="3" s="1"/>
  <c r="G48" i="1"/>
  <c r="K49" i="3" s="1"/>
  <c r="J49" i="1"/>
  <c r="N50" i="3" s="1"/>
  <c r="E50" i="1"/>
  <c r="I51" i="3" s="1"/>
  <c r="M50" i="1"/>
  <c r="Q51" i="3" s="1"/>
  <c r="H51" i="1"/>
  <c r="L52" i="3" s="1"/>
  <c r="C52" i="1"/>
  <c r="G53" i="3" s="1"/>
  <c r="K52" i="1"/>
  <c r="O53" i="3" s="1"/>
  <c r="D44" i="1"/>
  <c r="H45" i="3" s="1"/>
  <c r="L44" i="1"/>
  <c r="P45" i="3" s="1"/>
  <c r="G45" i="1"/>
  <c r="K46" i="3" s="1"/>
  <c r="J46" i="1"/>
  <c r="N47" i="3" s="1"/>
  <c r="E47" i="1"/>
  <c r="I48" i="3" s="1"/>
  <c r="M47" i="1"/>
  <c r="Q48" i="3" s="1"/>
  <c r="H48" i="1"/>
  <c r="L49" i="3" s="1"/>
  <c r="C49" i="1"/>
  <c r="G50" i="3" s="1"/>
  <c r="K49" i="1"/>
  <c r="O50" i="3" s="1"/>
  <c r="F50" i="1"/>
  <c r="J51" i="3" s="1"/>
  <c r="N50" i="1"/>
  <c r="R51" i="3" s="1"/>
  <c r="I51" i="1"/>
  <c r="M52" i="3" s="1"/>
  <c r="D52" i="1"/>
  <c r="H53" i="3" s="1"/>
  <c r="L52" i="1"/>
  <c r="P53" i="3" s="1"/>
  <c r="E44" i="1"/>
  <c r="I45" i="3" s="1"/>
  <c r="M44" i="1"/>
  <c r="Q45" i="3" s="1"/>
  <c r="H45" i="1"/>
  <c r="L46" i="3" s="1"/>
  <c r="C46" i="1"/>
  <c r="G47" i="3" s="1"/>
  <c r="K46" i="1"/>
  <c r="O47" i="3" s="1"/>
  <c r="F47" i="1"/>
  <c r="J48" i="3" s="1"/>
  <c r="N47" i="1"/>
  <c r="R48" i="3" s="1"/>
  <c r="I48" i="1"/>
  <c r="M49" i="3" s="1"/>
  <c r="D49" i="1"/>
  <c r="H50" i="3" s="1"/>
  <c r="L49" i="1"/>
  <c r="P50" i="3" s="1"/>
  <c r="G50" i="1"/>
  <c r="K51" i="3" s="1"/>
  <c r="J51" i="1"/>
  <c r="N52" i="3" s="1"/>
  <c r="E52" i="1"/>
  <c r="I53" i="3" s="1"/>
  <c r="M52" i="1"/>
  <c r="Q53" i="3" s="1"/>
  <c r="F44" i="1"/>
  <c r="J45" i="3" s="1"/>
  <c r="N44" i="1"/>
  <c r="R45" i="3" s="1"/>
  <c r="I45" i="1"/>
  <c r="M46" i="3" s="1"/>
  <c r="D46" i="1"/>
  <c r="H47" i="3" s="1"/>
  <c r="L46" i="1"/>
  <c r="P47" i="3" s="1"/>
  <c r="G47" i="1"/>
  <c r="K48" i="3" s="1"/>
  <c r="J48" i="1"/>
  <c r="N49" i="3" s="1"/>
  <c r="E49" i="1"/>
  <c r="I50" i="3" s="1"/>
  <c r="M49" i="1"/>
  <c r="Q50" i="3" s="1"/>
  <c r="H50" i="1"/>
  <c r="L51" i="3" s="1"/>
  <c r="C51" i="1"/>
  <c r="G52" i="3" s="1"/>
  <c r="K51" i="1"/>
  <c r="O52" i="3" s="1"/>
  <c r="F52" i="1"/>
  <c r="J53" i="3" s="1"/>
  <c r="D12" i="1"/>
  <c r="H13" i="3" s="1"/>
  <c r="C13" i="2"/>
  <c r="C14" i="3" s="1"/>
  <c r="B5" i="4" s="1"/>
  <c r="B21" i="4"/>
  <c r="F21" i="4" s="1"/>
  <c r="B17" i="4"/>
  <c r="F17" i="4" s="1"/>
  <c r="C52" i="3"/>
  <c r="F52" i="3" s="1"/>
  <c r="C43" i="2"/>
  <c r="C44" i="3" s="1"/>
  <c r="B8" i="4" s="1"/>
  <c r="L12" i="1"/>
  <c r="P13" i="3" s="1"/>
  <c r="N4" i="1"/>
  <c r="R5" i="3" s="1"/>
  <c r="H10" i="1"/>
  <c r="L11" i="3" s="1"/>
  <c r="J6" i="1"/>
  <c r="N7" i="3" s="1"/>
  <c r="N10" i="1"/>
  <c r="R11" i="3" s="1"/>
  <c r="L6" i="1"/>
  <c r="P7" i="3" s="1"/>
  <c r="C9" i="1"/>
  <c r="G10" i="3" s="1"/>
  <c r="F5" i="1"/>
  <c r="J6" i="3" s="1"/>
  <c r="E7" i="1"/>
  <c r="I8" i="3" s="1"/>
  <c r="E9" i="1"/>
  <c r="I10" i="3" s="1"/>
  <c r="C11" i="1"/>
  <c r="G12" i="3" s="1"/>
  <c r="G7" i="1"/>
  <c r="K8" i="3" s="1"/>
  <c r="K9" i="1"/>
  <c r="O10" i="3" s="1"/>
  <c r="D4" i="1"/>
  <c r="H5" i="3" s="1"/>
  <c r="M7" i="1"/>
  <c r="Q8" i="3" s="1"/>
  <c r="M9" i="1"/>
  <c r="Q10" i="3" s="1"/>
  <c r="K11" i="1"/>
  <c r="O12" i="3" s="1"/>
  <c r="G5" i="1"/>
  <c r="K6" i="3" s="1"/>
  <c r="I11" i="1"/>
  <c r="M12" i="3" s="1"/>
  <c r="I5" i="1"/>
  <c r="M6" i="3" s="1"/>
  <c r="F4" i="1"/>
  <c r="J5" i="3" s="1"/>
  <c r="N12" i="1"/>
  <c r="R13" i="3" s="1"/>
  <c r="C4" i="1"/>
  <c r="G5" i="3" s="1"/>
  <c r="K4" i="1"/>
  <c r="O5" i="3" s="1"/>
  <c r="D6" i="1"/>
  <c r="H7" i="3" s="1"/>
  <c r="H8" i="1"/>
  <c r="L9" i="3" s="1"/>
  <c r="F10" i="1"/>
  <c r="J11" i="3" s="1"/>
  <c r="K12" i="1"/>
  <c r="O13" i="3" s="1"/>
  <c r="E4" i="1"/>
  <c r="I5" i="3" s="1"/>
  <c r="M4" i="1"/>
  <c r="Q5" i="3" s="1"/>
  <c r="H5" i="1"/>
  <c r="L6" i="3" s="1"/>
  <c r="C6" i="1"/>
  <c r="G7" i="3" s="1"/>
  <c r="K6" i="1"/>
  <c r="O7" i="3" s="1"/>
  <c r="F7" i="1"/>
  <c r="J8" i="3" s="1"/>
  <c r="N7" i="1"/>
  <c r="R8" i="3" s="1"/>
  <c r="I8" i="1"/>
  <c r="M9" i="3" s="1"/>
  <c r="D9" i="1"/>
  <c r="H10" i="3" s="1"/>
  <c r="L9" i="1"/>
  <c r="P10" i="3" s="1"/>
  <c r="G10" i="1"/>
  <c r="K11" i="3" s="1"/>
  <c r="J11" i="1"/>
  <c r="N12" i="3" s="1"/>
  <c r="E12" i="1"/>
  <c r="I13" i="3" s="1"/>
  <c r="M12" i="1"/>
  <c r="Q13" i="3" s="1"/>
  <c r="G4" i="1"/>
  <c r="K5" i="3" s="1"/>
  <c r="J5" i="1"/>
  <c r="N6" i="3" s="1"/>
  <c r="M6" i="1"/>
  <c r="Q7" i="3" s="1"/>
  <c r="C8" i="1"/>
  <c r="G9" i="3" s="1"/>
  <c r="K8" i="1"/>
  <c r="O9" i="3" s="1"/>
  <c r="F9" i="1"/>
  <c r="J10" i="3" s="1"/>
  <c r="N9" i="1"/>
  <c r="R10" i="3" s="1"/>
  <c r="I10" i="1"/>
  <c r="M11" i="3" s="1"/>
  <c r="D11" i="1"/>
  <c r="H12" i="3" s="1"/>
  <c r="L11" i="1"/>
  <c r="P12" i="3" s="1"/>
  <c r="G12" i="1"/>
  <c r="K13" i="3" s="1"/>
  <c r="E6" i="1"/>
  <c r="I7" i="3" s="1"/>
  <c r="H7" i="1"/>
  <c r="L8" i="3" s="1"/>
  <c r="H4" i="1"/>
  <c r="L5" i="3" s="1"/>
  <c r="C5" i="1"/>
  <c r="G6" i="3" s="1"/>
  <c r="K5" i="1"/>
  <c r="F6" i="1"/>
  <c r="J7" i="3" s="1"/>
  <c r="N6" i="1"/>
  <c r="R7" i="3" s="1"/>
  <c r="I7" i="1"/>
  <c r="M8" i="3" s="1"/>
  <c r="D8" i="1"/>
  <c r="H9" i="3" s="1"/>
  <c r="L8" i="1"/>
  <c r="P9" i="3" s="1"/>
  <c r="G9" i="1"/>
  <c r="K10" i="3" s="1"/>
  <c r="J10" i="1"/>
  <c r="N11" i="3" s="1"/>
  <c r="E11" i="1"/>
  <c r="I12" i="3" s="1"/>
  <c r="M11" i="1"/>
  <c r="Q12" i="3" s="1"/>
  <c r="H12" i="1"/>
  <c r="L13" i="3" s="1"/>
  <c r="I4" i="1"/>
  <c r="M5" i="3" s="1"/>
  <c r="D5" i="1"/>
  <c r="H6" i="3" s="1"/>
  <c r="L5" i="1"/>
  <c r="P6" i="3" s="1"/>
  <c r="G6" i="1"/>
  <c r="K7" i="3" s="1"/>
  <c r="J7" i="1"/>
  <c r="N8" i="3" s="1"/>
  <c r="E8" i="1"/>
  <c r="I9" i="3" s="1"/>
  <c r="M8" i="1"/>
  <c r="Q9" i="3" s="1"/>
  <c r="H9" i="1"/>
  <c r="L10" i="3" s="1"/>
  <c r="C10" i="1"/>
  <c r="G11" i="3" s="1"/>
  <c r="K10" i="1"/>
  <c r="O11" i="3" s="1"/>
  <c r="F11" i="1"/>
  <c r="J12" i="3" s="1"/>
  <c r="N11" i="1"/>
  <c r="R12" i="3" s="1"/>
  <c r="I12" i="1"/>
  <c r="M13" i="3" s="1"/>
  <c r="J4" i="1"/>
  <c r="E5" i="1"/>
  <c r="I6" i="3" s="1"/>
  <c r="M5" i="1"/>
  <c r="Q6" i="3" s="1"/>
  <c r="H6" i="1"/>
  <c r="L7" i="3" s="1"/>
  <c r="C7" i="1"/>
  <c r="G8" i="3" s="1"/>
  <c r="K7" i="1"/>
  <c r="O8" i="3" s="1"/>
  <c r="F8" i="1"/>
  <c r="J9" i="3" s="1"/>
  <c r="N8" i="1"/>
  <c r="R9" i="3" s="1"/>
  <c r="I9" i="1"/>
  <c r="M10" i="3" s="1"/>
  <c r="D10" i="1"/>
  <c r="H11" i="3" s="1"/>
  <c r="L10" i="1"/>
  <c r="P11" i="3" s="1"/>
  <c r="G11" i="1"/>
  <c r="K12" i="3" s="1"/>
  <c r="J12" i="1"/>
  <c r="N13" i="3" s="1"/>
  <c r="N5" i="1"/>
  <c r="R6" i="3" s="1"/>
  <c r="I6" i="1"/>
  <c r="M7" i="3" s="1"/>
  <c r="D7" i="1"/>
  <c r="H8" i="3" s="1"/>
  <c r="L7" i="1"/>
  <c r="P8" i="3" s="1"/>
  <c r="G8" i="1"/>
  <c r="K9" i="3" s="1"/>
  <c r="J9" i="1"/>
  <c r="N10" i="3" s="1"/>
  <c r="E10" i="1"/>
  <c r="I11" i="3" s="1"/>
  <c r="M10" i="1"/>
  <c r="Q11" i="3" s="1"/>
  <c r="H11" i="1"/>
  <c r="L12" i="3" s="1"/>
  <c r="C12" i="1"/>
  <c r="G13" i="3" s="1"/>
  <c r="C53" i="2"/>
  <c r="C54" i="3" s="1"/>
  <c r="C20" i="3"/>
  <c r="C43" i="3"/>
  <c r="F43" i="3" s="1"/>
  <c r="B14" i="4"/>
  <c r="E14" i="4" s="1"/>
  <c r="C34" i="3"/>
  <c r="F34" i="3" s="1"/>
  <c r="B20" i="4"/>
  <c r="C23" i="2"/>
  <c r="C24" i="3" s="1"/>
  <c r="B6" i="4" s="1"/>
  <c r="B22" i="4"/>
  <c r="B18" i="4"/>
  <c r="F18" i="4" s="1"/>
  <c r="C8" i="3"/>
  <c r="F8" i="3" s="1"/>
  <c r="P33" i="1"/>
  <c r="F14" i="4"/>
  <c r="E17" i="4"/>
  <c r="D54" i="2"/>
  <c r="E15" i="4"/>
  <c r="E54" i="2"/>
  <c r="L23" i="1"/>
  <c r="P24" i="3" s="1"/>
  <c r="E23" i="1"/>
  <c r="I24" i="3" s="1"/>
  <c r="M23" i="1"/>
  <c r="Q24" i="3" s="1"/>
  <c r="O16" i="1"/>
  <c r="D17" i="3" s="1"/>
  <c r="E17" i="3" s="1"/>
  <c r="F23" i="1"/>
  <c r="J24" i="3" s="1"/>
  <c r="N23" i="1"/>
  <c r="R24" i="3" s="1"/>
  <c r="P53" i="1"/>
  <c r="P23" i="1"/>
  <c r="O15" i="1"/>
  <c r="D16" i="3" s="1"/>
  <c r="E16" i="3" s="1"/>
  <c r="K23" i="1"/>
  <c r="O24" i="3" s="1"/>
  <c r="G23" i="1"/>
  <c r="K24" i="3" s="1"/>
  <c r="P43" i="1"/>
  <c r="D23" i="1"/>
  <c r="H24" i="3" s="1"/>
  <c r="P13" i="1"/>
  <c r="J23" i="1"/>
  <c r="N24" i="3" s="1"/>
  <c r="H23" i="1"/>
  <c r="L24" i="3" s="1"/>
  <c r="D33" i="1"/>
  <c r="H34" i="3" s="1"/>
  <c r="L33" i="1"/>
  <c r="P34" i="3" s="1"/>
  <c r="H43" i="1"/>
  <c r="L44" i="3" s="1"/>
  <c r="N15" i="3"/>
  <c r="G17" i="3"/>
  <c r="O14" i="1"/>
  <c r="O18" i="1"/>
  <c r="D19" i="3" s="1"/>
  <c r="E19" i="3" s="1"/>
  <c r="O22" i="1"/>
  <c r="D23" i="3" s="1"/>
  <c r="E23" i="3" s="1"/>
  <c r="I23" i="1"/>
  <c r="M24" i="3" s="1"/>
  <c r="O26" i="1"/>
  <c r="D27" i="3" s="1"/>
  <c r="E27" i="3" s="1"/>
  <c r="O30" i="1"/>
  <c r="D31" i="3" s="1"/>
  <c r="E31" i="3" s="1"/>
  <c r="E33" i="1"/>
  <c r="I34" i="3" s="1"/>
  <c r="M33" i="1"/>
  <c r="Q34" i="3" s="1"/>
  <c r="O34" i="1"/>
  <c r="O38" i="1"/>
  <c r="D39" i="3" s="1"/>
  <c r="E39" i="3" s="1"/>
  <c r="O42" i="1"/>
  <c r="D43" i="3" s="1"/>
  <c r="E43" i="3" s="1"/>
  <c r="I43" i="1"/>
  <c r="M44" i="3" s="1"/>
  <c r="G16" i="3"/>
  <c r="O16" i="3"/>
  <c r="F33" i="1"/>
  <c r="J34" i="3" s="1"/>
  <c r="N33" i="1"/>
  <c r="R34" i="3" s="1"/>
  <c r="J43" i="1"/>
  <c r="N44" i="3" s="1"/>
  <c r="H15" i="3"/>
  <c r="P15" i="3"/>
  <c r="O17" i="1"/>
  <c r="D18" i="3" s="1"/>
  <c r="E18" i="3" s="1"/>
  <c r="O21" i="1"/>
  <c r="D22" i="3" s="1"/>
  <c r="E22" i="3" s="1"/>
  <c r="C23" i="1"/>
  <c r="G24" i="3" s="1"/>
  <c r="O25" i="1"/>
  <c r="D26" i="3" s="1"/>
  <c r="E26" i="3" s="1"/>
  <c r="O29" i="1"/>
  <c r="D30" i="3" s="1"/>
  <c r="E30" i="3" s="1"/>
  <c r="G33" i="1"/>
  <c r="K34" i="3" s="1"/>
  <c r="O37" i="1"/>
  <c r="D38" i="3" s="1"/>
  <c r="E38" i="3" s="1"/>
  <c r="O41" i="1"/>
  <c r="D42" i="3" s="1"/>
  <c r="E42" i="3" s="1"/>
  <c r="C43" i="1"/>
  <c r="G44" i="3" s="1"/>
  <c r="K43" i="1"/>
  <c r="O44" i="3" s="1"/>
  <c r="I15" i="3"/>
  <c r="Q15" i="3"/>
  <c r="H33" i="1"/>
  <c r="L34" i="3" s="1"/>
  <c r="D43" i="1"/>
  <c r="H44" i="3" s="1"/>
  <c r="L43" i="1"/>
  <c r="P44" i="3" s="1"/>
  <c r="J15" i="3"/>
  <c r="R15" i="3"/>
  <c r="O20" i="1"/>
  <c r="D21" i="3" s="1"/>
  <c r="E21" i="3" s="1"/>
  <c r="O24" i="1"/>
  <c r="O28" i="1"/>
  <c r="D29" i="3" s="1"/>
  <c r="E29" i="3" s="1"/>
  <c r="O32" i="1"/>
  <c r="D33" i="3" s="1"/>
  <c r="E33" i="3" s="1"/>
  <c r="I33" i="1"/>
  <c r="M34" i="3" s="1"/>
  <c r="O36" i="1"/>
  <c r="D37" i="3" s="1"/>
  <c r="E37" i="3" s="1"/>
  <c r="O40" i="1"/>
  <c r="D41" i="3" s="1"/>
  <c r="E41" i="3" s="1"/>
  <c r="E43" i="1"/>
  <c r="I44" i="3" s="1"/>
  <c r="M43" i="1"/>
  <c r="Q44" i="3" s="1"/>
  <c r="K16" i="3"/>
  <c r="J33" i="1"/>
  <c r="N34" i="3" s="1"/>
  <c r="F43" i="1"/>
  <c r="J44" i="3" s="1"/>
  <c r="N43" i="1"/>
  <c r="R44" i="3" s="1"/>
  <c r="O19" i="1"/>
  <c r="D20" i="3" s="1"/>
  <c r="E20" i="3" s="1"/>
  <c r="O27" i="1"/>
  <c r="D28" i="3" s="1"/>
  <c r="E28" i="3" s="1"/>
  <c r="O31" i="1"/>
  <c r="D32" i="3" s="1"/>
  <c r="E32" i="3" s="1"/>
  <c r="C33" i="1"/>
  <c r="G34" i="3" s="1"/>
  <c r="K33" i="1"/>
  <c r="O34" i="3" s="1"/>
  <c r="O35" i="1"/>
  <c r="D36" i="3" s="1"/>
  <c r="E36" i="3" s="1"/>
  <c r="O39" i="1"/>
  <c r="D40" i="3" s="1"/>
  <c r="E40" i="3" s="1"/>
  <c r="G43" i="1"/>
  <c r="K44" i="3" s="1"/>
  <c r="E21" i="4"/>
  <c r="B9" i="4" l="1"/>
  <c r="G53" i="1"/>
  <c r="K54" i="3" s="1"/>
  <c r="O47" i="1"/>
  <c r="D48" i="3" s="1"/>
  <c r="E48" i="3" s="1"/>
  <c r="M53" i="1"/>
  <c r="Q54" i="3" s="1"/>
  <c r="N53" i="1"/>
  <c r="R54" i="3" s="1"/>
  <c r="H53" i="1"/>
  <c r="L54" i="3" s="1"/>
  <c r="E53" i="1"/>
  <c r="I54" i="3" s="1"/>
  <c r="O45" i="1"/>
  <c r="D46" i="3" s="1"/>
  <c r="E46" i="3" s="1"/>
  <c r="J53" i="1"/>
  <c r="N54" i="3" s="1"/>
  <c r="F53" i="1"/>
  <c r="J54" i="3" s="1"/>
  <c r="I53" i="1"/>
  <c r="M54" i="3" s="1"/>
  <c r="O49" i="1"/>
  <c r="D50" i="3" s="1"/>
  <c r="E50" i="3" s="1"/>
  <c r="O50" i="1"/>
  <c r="D51" i="3" s="1"/>
  <c r="E51" i="3" s="1"/>
  <c r="L53" i="1"/>
  <c r="P54" i="3" s="1"/>
  <c r="O46" i="1"/>
  <c r="D47" i="3" s="1"/>
  <c r="D53" i="1"/>
  <c r="H54" i="3" s="1"/>
  <c r="C53" i="1"/>
  <c r="G54" i="3" s="1"/>
  <c r="O52" i="1"/>
  <c r="D53" i="3" s="1"/>
  <c r="E53" i="3" s="1"/>
  <c r="K53" i="1"/>
  <c r="O54" i="3" s="1"/>
  <c r="O51" i="1"/>
  <c r="D52" i="3" s="1"/>
  <c r="E52" i="3" s="1"/>
  <c r="O48" i="1"/>
  <c r="D49" i="3" s="1"/>
  <c r="E49" i="3" s="1"/>
  <c r="O44" i="1"/>
  <c r="D45" i="3" s="1"/>
  <c r="E45" i="3" s="1"/>
  <c r="F44" i="3"/>
  <c r="O4" i="1"/>
  <c r="D5" i="3" s="1"/>
  <c r="E5" i="3" s="1"/>
  <c r="O12" i="1"/>
  <c r="D13" i="3" s="1"/>
  <c r="E13" i="3" s="1"/>
  <c r="G13" i="1"/>
  <c r="K14" i="3" s="1"/>
  <c r="N13" i="1"/>
  <c r="R14" i="3" s="1"/>
  <c r="O6" i="1"/>
  <c r="D7" i="3" s="1"/>
  <c r="E7" i="3" s="1"/>
  <c r="O5" i="1"/>
  <c r="H13" i="1"/>
  <c r="L14" i="3" s="1"/>
  <c r="O10" i="1"/>
  <c r="C13" i="1"/>
  <c r="G14" i="3" s="1"/>
  <c r="M13" i="1"/>
  <c r="N5" i="3"/>
  <c r="O7" i="1"/>
  <c r="C17" i="4" s="1"/>
  <c r="D17" i="4" s="1"/>
  <c r="K13" i="1"/>
  <c r="O14" i="3" s="1"/>
  <c r="F20" i="3"/>
  <c r="E13" i="1"/>
  <c r="J13" i="1"/>
  <c r="N14" i="3" s="1"/>
  <c r="L13" i="1"/>
  <c r="O8" i="1"/>
  <c r="D9" i="3" s="1"/>
  <c r="E9" i="3" s="1"/>
  <c r="I13" i="1"/>
  <c r="M14" i="3" s="1"/>
  <c r="O6" i="3"/>
  <c r="D13" i="1"/>
  <c r="O9" i="1"/>
  <c r="D10" i="3" s="1"/>
  <c r="F13" i="1"/>
  <c r="J14" i="3" s="1"/>
  <c r="O11" i="1"/>
  <c r="D12" i="3" s="1"/>
  <c r="E12" i="3" s="1"/>
  <c r="F31" i="3"/>
  <c r="C54" i="2"/>
  <c r="C55" i="3" s="1"/>
  <c r="B7" i="4"/>
  <c r="B10" i="4" s="1"/>
  <c r="E18" i="4"/>
  <c r="B23" i="4"/>
  <c r="E22" i="4"/>
  <c r="F22" i="4"/>
  <c r="P54" i="1"/>
  <c r="D25" i="3"/>
  <c r="E25" i="3" s="1"/>
  <c r="O33" i="1"/>
  <c r="D34" i="3" s="1"/>
  <c r="F7" i="4"/>
  <c r="E7" i="4"/>
  <c r="F8" i="4"/>
  <c r="E8" i="4"/>
  <c r="D35" i="3"/>
  <c r="E35" i="3" s="1"/>
  <c r="O43" i="1"/>
  <c r="D44" i="3" s="1"/>
  <c r="O23" i="1"/>
  <c r="D24" i="3" s="1"/>
  <c r="F24" i="3" s="1"/>
  <c r="D15" i="3"/>
  <c r="E15" i="3" s="1"/>
  <c r="C14" i="4" l="1"/>
  <c r="D14" i="4" s="1"/>
  <c r="E47" i="3"/>
  <c r="F47" i="3"/>
  <c r="M54" i="1"/>
  <c r="Q55" i="3" s="1"/>
  <c r="E54" i="1"/>
  <c r="I55" i="3" s="1"/>
  <c r="C15" i="4"/>
  <c r="D15" i="4" s="1"/>
  <c r="D54" i="1"/>
  <c r="H55" i="3" s="1"/>
  <c r="L54" i="1"/>
  <c r="P55" i="3" s="1"/>
  <c r="C20" i="4"/>
  <c r="D20" i="4" s="1"/>
  <c r="O53" i="1"/>
  <c r="D54" i="3" s="1"/>
  <c r="C18" i="4"/>
  <c r="D18" i="4" s="1"/>
  <c r="C22" i="4"/>
  <c r="D22" i="4" s="1"/>
  <c r="C54" i="1"/>
  <c r="G55" i="3" s="1"/>
  <c r="Q14" i="3"/>
  <c r="F54" i="1"/>
  <c r="J55" i="3" s="1"/>
  <c r="H54" i="1"/>
  <c r="L55" i="3" s="1"/>
  <c r="C21" i="4"/>
  <c r="D21" i="4" s="1"/>
  <c r="D6" i="3"/>
  <c r="E6" i="3" s="1"/>
  <c r="D11" i="3"/>
  <c r="E11" i="3" s="1"/>
  <c r="J54" i="1"/>
  <c r="N55" i="3" s="1"/>
  <c r="K54" i="1"/>
  <c r="O55" i="3" s="1"/>
  <c r="N54" i="1"/>
  <c r="R55" i="3" s="1"/>
  <c r="H14" i="3"/>
  <c r="C16" i="4"/>
  <c r="D16" i="4" s="1"/>
  <c r="C19" i="4"/>
  <c r="D19" i="4" s="1"/>
  <c r="D8" i="3"/>
  <c r="E8" i="3" s="1"/>
  <c r="G54" i="1"/>
  <c r="K55" i="3" s="1"/>
  <c r="I54" i="1"/>
  <c r="M55" i="3" s="1"/>
  <c r="E10" i="3"/>
  <c r="F10" i="3"/>
  <c r="I14" i="3"/>
  <c r="P14" i="3"/>
  <c r="O13" i="1"/>
  <c r="D14" i="3" s="1"/>
  <c r="F14" i="3" s="1"/>
  <c r="F7" i="3"/>
  <c r="C7" i="4"/>
  <c r="D7" i="4" s="1"/>
  <c r="E34" i="3"/>
  <c r="C6" i="4"/>
  <c r="E24" i="3"/>
  <c r="C8" i="4"/>
  <c r="D8" i="4" s="1"/>
  <c r="E44" i="3"/>
  <c r="F20" i="4" l="1"/>
  <c r="E54" i="3"/>
  <c r="F54" i="3"/>
  <c r="C9" i="4"/>
  <c r="E20" i="4"/>
  <c r="C23" i="4"/>
  <c r="D23" i="4" s="1"/>
  <c r="E19" i="4"/>
  <c r="F19" i="4"/>
  <c r="F16" i="4"/>
  <c r="E16" i="4"/>
  <c r="O54" i="1"/>
  <c r="D55" i="3" s="1"/>
  <c r="E55" i="3" s="1"/>
  <c r="D6" i="4"/>
  <c r="F6" i="4"/>
  <c r="E6" i="4"/>
  <c r="C5" i="4"/>
  <c r="E14" i="3"/>
  <c r="D9" i="4" l="1"/>
  <c r="F9" i="4"/>
  <c r="E9" i="4"/>
  <c r="E23" i="4"/>
  <c r="F55" i="3"/>
  <c r="E5" i="4"/>
  <c r="F5" i="4"/>
  <c r="C10" i="4"/>
  <c r="D5" i="4"/>
  <c r="D10" i="4" l="1"/>
  <c r="F10" i="4"/>
  <c r="E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H2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사용대상이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과세항목인경우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부가가치세를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I2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건설업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산업안전보건관리비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적정여부</t>
        </r>
      </text>
    </comment>
  </commentList>
</comments>
</file>

<file path=xl/sharedStrings.xml><?xml version="1.0" encoding="utf-8"?>
<sst xmlns="http://schemas.openxmlformats.org/spreadsheetml/2006/main" count="402" uniqueCount="128">
  <si>
    <t>본부</t>
  </si>
  <si>
    <t>항목</t>
  </si>
  <si>
    <t>합계</t>
  </si>
  <si>
    <t>산보위
건수</t>
  </si>
  <si>
    <t>본사</t>
  </si>
  <si>
    <t>안전관리자 등 인건비</t>
  </si>
  <si>
    <t>안전시설비</t>
  </si>
  <si>
    <t>보호구·안전용품</t>
  </si>
  <si>
    <t>안전진단비</t>
  </si>
  <si>
    <t>안전보건교육비·행사비 등</t>
  </si>
  <si>
    <t>근로자 건강관리비 등</t>
  </si>
  <si>
    <t>건설재해예방 기술지도비</t>
  </si>
  <si>
    <t>기타</t>
  </si>
  <si>
    <t>산보위·위험성평가 안건</t>
  </si>
  <si>
    <t>본사 소계</t>
  </si>
  <si>
    <t>충청본부</t>
  </si>
  <si>
    <t>충청본부 소계</t>
  </si>
  <si>
    <t>호남본부</t>
  </si>
  <si>
    <t>호남본부 소계</t>
  </si>
  <si>
    <t>부산본부</t>
  </si>
  <si>
    <t>부산본부 소계</t>
  </si>
  <si>
    <t>대구본부</t>
  </si>
  <si>
    <t>대구본부 소계</t>
  </si>
  <si>
    <t>▶  전체 합계</t>
  </si>
  <si>
    <t>⚠  이 시트의 예산을 입력하면 [예산대비_지출통계] 시트에 자동 반영됩니다. 본부별 / 항목별 연간 예산을 입력하세요.</t>
  </si>
  <si>
    <t>연간 예산(원)</t>
  </si>
  <si>
    <t>상반기 예산</t>
  </si>
  <si>
    <t>하반기 예산</t>
  </si>
  <si>
    <t>비고</t>
  </si>
  <si>
    <t>연간예산</t>
  </si>
  <si>
    <t>누계지출</t>
  </si>
  <si>
    <t>잔액</t>
  </si>
  <si>
    <t>집행률</t>
  </si>
  <si>
    <t>월별 지출</t>
  </si>
  <si>
    <t>🏢 전사 합계</t>
  </si>
  <si>
    <t>① 본부별 예산 대비 지출</t>
  </si>
  <si>
    <t>연간 예산</t>
  </si>
  <si>
    <t>누계 지출</t>
  </si>
  <si>
    <t>집행현황</t>
  </si>
  <si>
    <t>② 항목별 전사 예산 대비 지출</t>
  </si>
  <si>
    <t>연간 예산 합계</t>
  </si>
  <si>
    <t>누계 지출 합계</t>
  </si>
  <si>
    <t>전체 합계</t>
  </si>
  <si>
    <t>No</t>
  </si>
  <si>
    <t>지급일자</t>
  </si>
  <si>
    <t>월</t>
  </si>
  <si>
    <t>항목명</t>
  </si>
  <si>
    <t>세부항목 / 품목명</t>
  </si>
  <si>
    <t>▶  [지출내역] 시트 데이터를 SUMIFS 함수로 자동 집계합니다. 지출내역 입력 즉시 반영됩니다.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</si>
  <si>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</si>
  <si>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</si>
  <si>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</si>
  <si>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</si>
  <si>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</si>
  <si>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</si>
  <si>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</si>
  <si>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</si>
  <si>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</si>
  <si>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</si>
  <si>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</si>
  <si>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</si>
  <si>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▶  예산: [예산입력] 시트 참조  |  지출: [지출통계] 시트 참조  |  잔액·집행률 자동 계산  |  월별 지출은 [지출통계] 월별 합계 참조</t>
  </si>
  <si>
    <t>▶  [예산입력] · [지출통계] 시트 자동 연동  |  예산 입력 즉시 반영</t>
  </si>
  <si>
    <t>집행률(%)</t>
  </si>
  <si>
    <t>■ 전사  예산 대비 지출 요약</t>
    <phoneticPr fontId="3" type="noConversion"/>
  </si>
  <si>
    <t>■ 연간 예산 입력표  —  노란색 셀에 금액(원)을 입력하세요</t>
    <phoneticPr fontId="3" type="noConversion"/>
  </si>
  <si>
    <t>■ 산업안전관리비  예산 대비 지출 현황</t>
    <phoneticPr fontId="3" type="noConversion"/>
  </si>
  <si>
    <t>■2026년 산업안전관리비 지출현황 통계</t>
    <phoneticPr fontId="3" type="noConversion"/>
  </si>
  <si>
    <t>적정 여부</t>
    <phoneticPr fontId="3" type="noConversion"/>
  </si>
  <si>
    <t>관련 문서번호(증빙)</t>
    <phoneticPr fontId="3" type="noConversion"/>
  </si>
  <si>
    <t>위험성평가·산보위 반영여부</t>
    <phoneticPr fontId="3" type="noConversion"/>
  </si>
  <si>
    <t>위험성평가·산보위 의결 내용</t>
    <phoneticPr fontId="3" type="noConversion"/>
  </si>
  <si>
    <t>금액 (원)</t>
    <phoneticPr fontId="3" type="noConversion"/>
  </si>
  <si>
    <t>안전관리자 대행료</t>
  </si>
  <si>
    <t>안전관리자 대행료</t>
    <phoneticPr fontId="3" type="noConversion"/>
  </si>
  <si>
    <t>보건관리자 대행료</t>
  </si>
  <si>
    <t>대구</t>
    <phoneticPr fontId="3" type="noConversion"/>
  </si>
  <si>
    <t>차량고임목 4개</t>
    <phoneticPr fontId="3" type="noConversion"/>
  </si>
  <si>
    <t>차량고임목 / 버팀목(1t이상) 4개</t>
    <phoneticPr fontId="3" type="noConversion"/>
  </si>
  <si>
    <t>구매결의서-대구현장경영팀-26-0005</t>
  </si>
  <si>
    <t>구매결의서-대구현장경영팀-26-0003</t>
  </si>
  <si>
    <t>안전현황판-PE소형 90개</t>
    <phoneticPr fontId="3" type="noConversion"/>
  </si>
  <si>
    <t>구매결의서-대구현장경영팀-26-0008</t>
  </si>
  <si>
    <t>구매결의서-대구현장경영팀-26-0010</t>
  </si>
  <si>
    <t>안전화(블랙야크 YAK-4000G 경량) 1개</t>
    <phoneticPr fontId="3" type="noConversion"/>
  </si>
  <si>
    <t>활선경보기 / DA-3505 1개</t>
    <phoneticPr fontId="3" type="noConversion"/>
  </si>
  <si>
    <t>살충제 / 컴배트 스피드 에어졸(바퀴용) 111개</t>
    <phoneticPr fontId="3" type="noConversion"/>
  </si>
  <si>
    <t>안전운전 스티커</t>
    <phoneticPr fontId="3" type="noConversion"/>
  </si>
  <si>
    <t>1분기 산보위 반영</t>
    <phoneticPr fontId="3" type="noConversion"/>
  </si>
  <si>
    <t>1분기 산보위 의결진행</t>
    <phoneticPr fontId="3" type="noConversion"/>
  </si>
  <si>
    <t>핸드폰 거치대</t>
    <phoneticPr fontId="3" type="noConversion"/>
  </si>
  <si>
    <t>구매결의서-대구현장경영팀-26-0011</t>
  </si>
  <si>
    <t>구매결의서-대구현장경영팀-26-0012</t>
  </si>
  <si>
    <t>안전화 / 블랙야크 고어텍스 안전화 YAK-603 1개</t>
    <phoneticPr fontId="3" type="noConversion"/>
  </si>
  <si>
    <t>핸드폰거치대(QC-6) 114개</t>
    <phoneticPr fontId="3" type="noConversion"/>
  </si>
  <si>
    <t>음주측정기(AL5500) 1개</t>
    <phoneticPr fontId="3" type="noConversion"/>
  </si>
  <si>
    <t>구매결의서-대구현장경영팀-26-0014</t>
  </si>
  <si>
    <t>5월 생수</t>
    <phoneticPr fontId="3" type="noConversion"/>
  </si>
  <si>
    <t>5월 생수 221개</t>
    <phoneticPr fontId="3" type="noConversion"/>
  </si>
  <si>
    <t>구매결의서-대구현장경영팀-26-0016</t>
  </si>
  <si>
    <t>구매결의서-대구현장경영팀-26-0015</t>
  </si>
  <si>
    <t>2분기 산보위 반영</t>
    <phoneticPr fontId="3" type="noConversion"/>
  </si>
  <si>
    <t>2분기 산보위 의결진행</t>
    <phoneticPr fontId="3" type="noConversion"/>
  </si>
  <si>
    <t>구매결의서-대구현장경영팀-26-0020</t>
  </si>
  <si>
    <t>구매결의서-대구현장경영팀-26-0019</t>
  </si>
  <si>
    <t>구급함 / 스마트 1호 1개</t>
    <phoneticPr fontId="3" type="noConversion"/>
  </si>
  <si>
    <t>음주운전경고 포스터 20개</t>
    <phoneticPr fontId="3" type="noConversion"/>
  </si>
  <si>
    <t>기안서-대구현장경영팀-26-0019</t>
  </si>
  <si>
    <t>6월 생수 202개</t>
    <phoneticPr fontId="3" type="noConversion"/>
  </si>
  <si>
    <t>6월 살충제 106개</t>
    <phoneticPr fontId="3" type="noConversion"/>
  </si>
  <si>
    <t>위험 전기작업중 75*145 PC2T 비너부착 200개</t>
    <phoneticPr fontId="3" type="noConversion"/>
  </si>
  <si>
    <t> 지출결의서(현금)-대구현장경영팀-26-0018</t>
  </si>
  <si>
    <t> 지출결의서(현금)-대구현장경영팀-26-0037</t>
  </si>
  <si>
    <t>지출결의서(현금)-대구현장경영팀-26-0055</t>
  </si>
  <si>
    <t> 지출결의서(현금)-대구현장경영팀-26-0112</t>
  </si>
  <si>
    <t> 지출결의서(현금)-대구현장경영팀-26-0013</t>
  </si>
  <si>
    <t> 지출결의서(현금)-대구현장경영팀-26-0036</t>
  </si>
  <si>
    <t>지출결의서(현금)-대구현장경영팀-26-0056</t>
  </si>
  <si>
    <t>지출결의서(현금)-대구현장경영팀-26-0079</t>
  </si>
  <si>
    <t> 지출결의서(현금)-대구현장경영팀-26-0111</t>
  </si>
  <si>
    <t>지출결의서(현금)-대구현장경영팀-26-0139</t>
  </si>
  <si>
    <t>4월 재량보상</t>
    <phoneticPr fontId="3" type="noConversion"/>
  </si>
  <si>
    <t>3월 재량보상</t>
    <phoneticPr fontId="3" type="noConversion"/>
  </si>
  <si>
    <t>2월 재량보상</t>
    <phoneticPr fontId="3" type="noConversion"/>
  </si>
  <si>
    <t> 지출결의서(현금)-대구현장경영팀-26-0065</t>
  </si>
  <si>
    <t> 지출결의서(현금)-대구현장경영팀-26-0087</t>
  </si>
  <si>
    <t> 지출결의서(현금)-대구현장경영팀-26-0122</t>
  </si>
  <si>
    <t>■산업안전보건관리비 사용내역(6.1일 기준)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</si>
</sst>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0">
    <font>
      <sz val="11"/>
      <color theme="1"/>
      <name val="맑은 고딕"/>
      <family val="2"/>
      <charset val="129"/>
    </font>
    <font>
      <sz val="9"/>
      <color rgb="FF111827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8"/>
      <name val="맑은 고딕"/>
      <family val="2"/>
      <charset val="129"/>
    </font>
    <font>
      <b/>
      <sz val="14"/>
      <color theme="1"/>
      <name val="Noto Sans CJK SC"/>
      <family val="2"/>
    </font>
    <font>
      <b/>
      <sz val="14"/>
      <color theme="1"/>
      <name val="KT Flow Thin"/>
      <family val="3"/>
      <charset val="129"/>
    </font>
    <font>
      <b/>
      <sz val="9"/>
      <color rgb="FFFFFFFF"/>
      <name val="KT Flow Thin"/>
      <family val="3"/>
      <charset val="129"/>
    </font>
    <font>
      <sz val="9"/>
      <color rgb="FF000000"/>
      <name val="KT Flow Thin"/>
      <family val="3"/>
      <charset val="129"/>
    </font>
    <font>
      <b/>
      <sz val="9"/>
      <color rgb="FFFFFF00"/>
      <name val="KT Flow Thin"/>
      <family val="3"/>
      <charset val="129"/>
    </font>
    <font>
      <b/>
      <sz val="10"/>
      <color rgb="FFFFFFFF"/>
      <name val="KT Flow Thin"/>
      <family val="3"/>
      <charset val="129"/>
    </font>
    <font>
      <sz val="11"/>
      <color theme="1"/>
      <name val="KT Flow Thin"/>
      <family val="3"/>
      <charset val="129"/>
    </font>
    <font>
      <b/>
      <sz val="9"/>
      <color theme="1"/>
      <name val="KT Flow Thin"/>
      <family val="3"/>
      <charset val="129"/>
    </font>
    <font>
      <b/>
      <sz val="8"/>
      <color theme="1"/>
      <name val="KT Flow Thin"/>
      <family val="3"/>
      <charset val="129"/>
    </font>
    <font>
      <sz val="9"/>
      <color theme="1"/>
      <name val="KT Flow Thin"/>
      <family val="3"/>
      <charset val="129"/>
    </font>
    <font>
      <sz val="8"/>
      <color theme="1"/>
      <name val="KT Flow Thin"/>
      <family val="3"/>
      <charset val="129"/>
    </font>
    <font>
      <b/>
      <sz val="10"/>
      <color theme="1"/>
      <name val="KT Flow Thin"/>
      <family val="3"/>
      <charset val="129"/>
    </font>
    <font>
      <sz val="9"/>
      <color rgb="FF444444"/>
      <name val="KT Flow Thin"/>
      <family val="3"/>
      <charset val="129"/>
    </font>
    <font>
      <b/>
      <sz val="10"/>
      <color rgb="FF1F4E79"/>
      <name val="KT Flow Thin"/>
      <family val="3"/>
      <charset val="129"/>
    </font>
    <font>
      <b/>
      <sz val="10"/>
      <color rgb="FFC00000"/>
      <name val="KT Flow Thin"/>
      <family val="3"/>
      <charset val="129"/>
    </font>
    <font>
      <b/>
      <sz val="10"/>
      <color rgb="FF000000"/>
      <name val="KT Flow Thin"/>
      <family val="3"/>
      <charset val="129"/>
    </font>
    <font>
      <sz val="9"/>
      <color rgb="FF2E75B6"/>
      <name val="KT Flow Thin"/>
      <family val="3"/>
      <charset val="129"/>
    </font>
    <font>
      <b/>
      <sz val="11"/>
      <color rgb="FFFFFFFF"/>
      <name val="KT Flow Thin"/>
      <family val="3"/>
      <charset val="129"/>
    </font>
    <font>
      <sz val="9"/>
      <color rgb="FF1F4E79"/>
      <name val="KT Flow Thin"/>
      <family val="3"/>
      <charset val="129"/>
    </font>
    <font>
      <sz val="9"/>
      <color rgb="FFC00000"/>
      <name val="KT Flow Thin"/>
      <family val="3"/>
      <charset val="129"/>
    </font>
    <font>
      <sz val="9"/>
      <color rgb="FF375A7F"/>
      <name val="KT Flow Thin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KT Flow Thin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20"/>
      <color theme="1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375A7F"/>
      </patternFill>
    </fill>
    <fill>
      <patternFill patternType="solid">
        <fgColor rgb="FFEBF3FB"/>
        <bgColor rgb="FFEFF6FF"/>
      </patternFill>
    </fill>
    <fill>
      <patternFill patternType="solid">
        <fgColor rgb="FF2E75B6"/>
        <bgColor rgb="FF375A7F"/>
      </patternFill>
    </fill>
    <fill>
      <patternFill patternType="solid">
        <fgColor rgb="FFD6E4F0"/>
        <bgColor rgb="FFE2E8F0"/>
      </patternFill>
    </fill>
    <fill>
      <patternFill patternType="solid">
        <fgColor rgb="FFFFFFFF"/>
        <bgColor rgb="FFF8FAFC"/>
      </patternFill>
    </fill>
    <fill>
      <patternFill patternType="solid">
        <fgColor rgb="FFF0F7FF"/>
        <bgColor rgb="FFEFF6FF"/>
      </patternFill>
    </fill>
    <fill>
      <patternFill patternType="solid">
        <fgColor rgb="FFFFF2CC"/>
        <bgColor rgb="FFFEF3C7"/>
      </patternFill>
    </fill>
    <fill>
      <patternFill patternType="solid">
        <fgColor rgb="FF375A7F"/>
        <bgColor rgb="FF1F4E79"/>
      </patternFill>
    </fill>
    <fill>
      <patternFill patternType="solid">
        <fgColor rgb="FFFFFF99"/>
        <bgColor rgb="FFFFFACD"/>
      </patternFill>
    </fill>
    <fill>
      <patternFill patternType="solid">
        <fgColor rgb="FFFFFACD"/>
        <bgColor rgb="FFFEF3C7"/>
      </patternFill>
    </fill>
    <fill>
      <patternFill patternType="solid">
        <fgColor rgb="FFF8FAFC"/>
        <bgColor rgb="FFF0F7FF"/>
      </patternFill>
    </fill>
    <fill>
      <patternFill patternType="solid">
        <fgColor rgb="FFFDF3EC"/>
        <bgColor rgb="FFFFF1F2"/>
      </patternFill>
    </fill>
    <fill>
      <patternFill patternType="solid">
        <fgColor rgb="FFE8F5E9"/>
        <bgColor rgb="FFEBF3FB"/>
      </patternFill>
    </fill>
    <fill>
      <patternFill patternType="solid">
        <fgColor rgb="FFFFF3E0"/>
        <bgColor rgb="FFFDF3EC"/>
      </patternFill>
    </fill>
    <fill>
      <patternFill patternType="solid">
        <fgColor rgb="FFF3E5F5"/>
        <bgColor rgb="FFE2E8F0"/>
      </patternFill>
    </fill>
    <fill>
      <patternFill patternType="solid">
        <fgColor theme="0"/>
        <bgColor rgb="FF375A7F"/>
      </patternFill>
    </fill>
    <fill>
      <patternFill patternType="solid">
        <fgColor theme="4" tint="0.79998168889431442"/>
        <bgColor rgb="FF1F4E79"/>
      </patternFill>
    </fill>
    <fill>
      <patternFill patternType="solid">
        <fgColor theme="4" tint="0.79998168889431442"/>
        <bgColor rgb="FF375A7F"/>
      </patternFill>
    </fill>
    <fill>
      <patternFill patternType="solid">
        <fgColor theme="4" tint="0.79998168889431442"/>
        <bgColor rgb="FFF0F7FF"/>
      </patternFill>
    </fill>
  </fills>
  <borders count="30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 style="medium">
        <color rgb="FF777777"/>
      </left>
      <right/>
      <top style="medium">
        <color rgb="FF777777"/>
      </top>
      <bottom style="medium">
        <color rgb="FF777777"/>
      </bottom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medium">
        <color rgb="FF777777"/>
      </bottom>
      <diagonal/>
    </border>
    <border>
      <left style="thin">
        <color rgb="FFE2E8F0"/>
      </left>
      <right style="dotted">
        <color rgb="FFE2E8F0"/>
      </right>
      <top style="dotted">
        <color rgb="FFE2E8F0"/>
      </top>
      <bottom style="dotted">
        <color rgb="FFE2E8F0"/>
      </bottom>
      <diagonal/>
    </border>
    <border>
      <left style="dotted">
        <color rgb="FFE2E8F0"/>
      </left>
      <right style="dotted">
        <color rgb="FFE2E8F0"/>
      </right>
      <top style="dotted">
        <color rgb="FFE2E8F0"/>
      </top>
      <bottom style="dotted">
        <color rgb="FFE2E8F0"/>
      </bottom>
      <diagonal/>
    </border>
    <border>
      <left style="dotted">
        <color rgb="FFE2E8F0"/>
      </left>
      <right style="thin">
        <color rgb="FFE2E8F0"/>
      </right>
      <top style="dotted">
        <color rgb="FFE2E8F0"/>
      </top>
      <bottom style="dotted">
        <color rgb="FFE2E8F0"/>
      </bottom>
      <diagonal/>
    </border>
    <border>
      <left style="thin">
        <color rgb="FFE2E8F0"/>
      </left>
      <right style="dotted">
        <color rgb="FFE2E8F0"/>
      </right>
      <top/>
      <bottom style="dotted">
        <color rgb="FFE2E8F0"/>
      </bottom>
      <diagonal/>
    </border>
    <border>
      <left style="dotted">
        <color rgb="FFE2E8F0"/>
      </left>
      <right style="dotted">
        <color rgb="FFE2E8F0"/>
      </right>
      <top/>
      <bottom style="dotted">
        <color rgb="FFE2E8F0"/>
      </bottom>
      <diagonal/>
    </border>
    <border>
      <left style="dotted">
        <color rgb="FFE2E8F0"/>
      </left>
      <right style="thin">
        <color rgb="FFE2E8F0"/>
      </right>
      <top/>
      <bottom style="dotted">
        <color rgb="FFE2E8F0"/>
      </bottom>
      <diagonal/>
    </border>
    <border>
      <left style="dotted">
        <color rgb="FFE2E8F0"/>
      </left>
      <right/>
      <top/>
      <bottom style="dotted">
        <color rgb="FFE2E8F0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double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double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dotted">
        <color rgb="FFE2E8F0"/>
      </right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1" fillId="6" borderId="7" xfId="0" applyFont="1" applyFill="1" applyBorder="1" applyAlignment="1">
      <alignment horizontal="left" vertical="center"/>
    </xf>
    <xf numFmtId="0" fontId="1" fillId="12" borderId="7" xfId="0" applyFont="1" applyFill="1" applyBorder="1" applyAlignment="1">
      <alignment horizontal="left" vertical="center"/>
    </xf>
    <xf numFmtId="0" fontId="4" fillId="17" borderId="0" xfId="0" applyFont="1" applyFill="1" applyBorder="1" applyAlignment="1">
      <alignment vertical="center"/>
    </xf>
    <xf numFmtId="0" fontId="10" fillId="0" borderId="0" xfId="0" applyFont="1" applyAlignment="1"/>
    <xf numFmtId="0" fontId="12" fillId="4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3" fontId="13" fillId="6" borderId="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3" fontId="14" fillId="6" borderId="2" xfId="0" applyNumberFormat="1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left" vertical="center"/>
    </xf>
    <xf numFmtId="3" fontId="13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3" fontId="14" fillId="7" borderId="2" xfId="0" applyNumberFormat="1" applyFont="1" applyFill="1" applyBorder="1" applyAlignment="1">
      <alignment horizontal="right" vertical="center"/>
    </xf>
    <xf numFmtId="3" fontId="12" fillId="4" borderId="4" xfId="0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3" fontId="17" fillId="3" borderId="4" xfId="0" applyNumberFormat="1" applyFont="1" applyFill="1" applyBorder="1" applyAlignment="1">
      <alignment horizontal="center" vertical="center"/>
    </xf>
    <xf numFmtId="3" fontId="18" fillId="3" borderId="4" xfId="0" applyNumberFormat="1" applyFont="1" applyFill="1" applyBorder="1" applyAlignment="1">
      <alignment horizontal="center" vertical="center"/>
    </xf>
    <xf numFmtId="3" fontId="19" fillId="3" borderId="4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left" vertical="center"/>
    </xf>
    <xf numFmtId="0" fontId="17" fillId="13" borderId="4" xfId="0" applyFont="1" applyFill="1" applyBorder="1" applyAlignment="1">
      <alignment horizontal="center" vertical="center"/>
    </xf>
    <xf numFmtId="3" fontId="17" fillId="13" borderId="4" xfId="0" applyNumberFormat="1" applyFont="1" applyFill="1" applyBorder="1" applyAlignment="1">
      <alignment horizontal="center" vertical="center"/>
    </xf>
    <xf numFmtId="3" fontId="18" fillId="13" borderId="4" xfId="0" applyNumberFormat="1" applyFont="1" applyFill="1" applyBorder="1" applyAlignment="1">
      <alignment horizontal="center" vertical="center"/>
    </xf>
    <xf numFmtId="3" fontId="19" fillId="13" borderId="4" xfId="0" applyNumberFormat="1" applyFont="1" applyFill="1" applyBorder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left" vertical="center"/>
    </xf>
    <xf numFmtId="0" fontId="17" fillId="14" borderId="4" xfId="0" applyFont="1" applyFill="1" applyBorder="1" applyAlignment="1">
      <alignment horizontal="center" vertical="center"/>
    </xf>
    <xf numFmtId="3" fontId="17" fillId="14" borderId="4" xfId="0" applyNumberFormat="1" applyFont="1" applyFill="1" applyBorder="1" applyAlignment="1">
      <alignment horizontal="center" vertical="center"/>
    </xf>
    <xf numFmtId="3" fontId="18" fillId="14" borderId="4" xfId="0" applyNumberFormat="1" applyFont="1" applyFill="1" applyBorder="1" applyAlignment="1">
      <alignment horizontal="center" vertical="center"/>
    </xf>
    <xf numFmtId="3" fontId="19" fillId="14" borderId="4" xfId="0" applyNumberFormat="1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left" vertical="center"/>
    </xf>
    <xf numFmtId="0" fontId="17" fillId="15" borderId="4" xfId="0" applyFont="1" applyFill="1" applyBorder="1" applyAlignment="1">
      <alignment horizontal="center" vertical="center"/>
    </xf>
    <xf numFmtId="3" fontId="17" fillId="15" borderId="4" xfId="0" applyNumberFormat="1" applyFont="1" applyFill="1" applyBorder="1" applyAlignment="1">
      <alignment horizontal="center" vertical="center"/>
    </xf>
    <xf numFmtId="3" fontId="18" fillId="15" borderId="4" xfId="0" applyNumberFormat="1" applyFont="1" applyFill="1" applyBorder="1" applyAlignment="1">
      <alignment horizontal="center" vertical="center"/>
    </xf>
    <xf numFmtId="3" fontId="19" fillId="15" borderId="4" xfId="0" applyNumberFormat="1" applyFont="1" applyFill="1" applyBorder="1" applyAlignment="1">
      <alignment horizontal="center" vertical="center"/>
    </xf>
    <xf numFmtId="0" fontId="19" fillId="15" borderId="4" xfId="0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left" vertical="center"/>
    </xf>
    <xf numFmtId="0" fontId="17" fillId="16" borderId="4" xfId="0" applyFont="1" applyFill="1" applyBorder="1" applyAlignment="1">
      <alignment horizontal="center" vertical="center"/>
    </xf>
    <xf numFmtId="3" fontId="17" fillId="16" borderId="4" xfId="0" applyNumberFormat="1" applyFont="1" applyFill="1" applyBorder="1" applyAlignment="1">
      <alignment horizontal="center" vertical="center"/>
    </xf>
    <xf numFmtId="3" fontId="18" fillId="16" borderId="4" xfId="0" applyNumberFormat="1" applyFont="1" applyFill="1" applyBorder="1" applyAlignment="1">
      <alignment horizontal="center" vertical="center"/>
    </xf>
    <xf numFmtId="3" fontId="19" fillId="16" borderId="4" xfId="0" applyNumberFormat="1" applyFont="1" applyFill="1" applyBorder="1" applyAlignment="1">
      <alignment horizontal="center" vertical="center"/>
    </xf>
    <xf numFmtId="0" fontId="19" fillId="16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center" vertical="center"/>
    </xf>
    <xf numFmtId="3" fontId="21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3" fontId="22" fillId="6" borderId="4" xfId="0" applyNumberFormat="1" applyFont="1" applyFill="1" applyBorder="1" applyAlignment="1">
      <alignment horizontal="center" vertical="center"/>
    </xf>
    <xf numFmtId="3" fontId="23" fillId="6" borderId="4" xfId="0" applyNumberFormat="1" applyFont="1" applyFill="1" applyBorder="1" applyAlignment="1">
      <alignment horizontal="center" vertical="center"/>
    </xf>
    <xf numFmtId="3" fontId="7" fillId="6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3" fontId="22" fillId="12" borderId="4" xfId="0" applyNumberFormat="1" applyFont="1" applyFill="1" applyBorder="1" applyAlignment="1">
      <alignment horizontal="center" vertical="center"/>
    </xf>
    <xf numFmtId="3" fontId="23" fillId="12" borderId="4" xfId="0" applyNumberFormat="1" applyFont="1" applyFill="1" applyBorder="1" applyAlignment="1">
      <alignment horizontal="center" vertical="center"/>
    </xf>
    <xf numFmtId="3" fontId="7" fillId="12" borderId="4" xfId="0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/>
    <xf numFmtId="0" fontId="5" fillId="17" borderId="0" xfId="0" applyFont="1" applyFill="1" applyBorder="1" applyAlignment="1">
      <alignment vertical="center"/>
    </xf>
    <xf numFmtId="0" fontId="11" fillId="18" borderId="4" xfId="0" applyFont="1" applyFill="1" applyBorder="1" applyAlignment="1">
      <alignment horizontal="center" vertical="center"/>
    </xf>
    <xf numFmtId="3" fontId="13" fillId="10" borderId="4" xfId="0" applyNumberFormat="1" applyFont="1" applyFill="1" applyBorder="1" applyAlignment="1">
      <alignment horizontal="center" vertical="center"/>
    </xf>
    <xf numFmtId="3" fontId="13" fillId="11" borderId="2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3" fontId="11" fillId="19" borderId="4" xfId="0" applyNumberFormat="1" applyFont="1" applyFill="1" applyBorder="1" applyAlignment="1">
      <alignment horizontal="center" vertical="center"/>
    </xf>
    <xf numFmtId="3" fontId="13" fillId="6" borderId="2" xfId="0" applyNumberFormat="1" applyFont="1" applyFill="1" applyBorder="1" applyAlignment="1">
      <alignment horizontal="right" vertical="center"/>
    </xf>
    <xf numFmtId="3" fontId="11" fillId="5" borderId="2" xfId="0" applyNumberFormat="1" applyFont="1" applyFill="1" applyBorder="1" applyAlignment="1">
      <alignment horizontal="right" vertical="center"/>
    </xf>
    <xf numFmtId="1" fontId="13" fillId="6" borderId="2" xfId="0" applyNumberFormat="1" applyFont="1" applyFill="1" applyBorder="1" applyAlignment="1">
      <alignment horizontal="center" vertical="center"/>
    </xf>
    <xf numFmtId="3" fontId="13" fillId="7" borderId="2" xfId="0" applyNumberFormat="1" applyFont="1" applyFill="1" applyBorder="1" applyAlignment="1">
      <alignment horizontal="right" vertical="center"/>
    </xf>
    <xf numFmtId="1" fontId="13" fillId="7" borderId="2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0" fontId="11" fillId="19" borderId="1" xfId="0" applyFont="1" applyFill="1" applyBorder="1" applyAlignment="1">
      <alignment horizontal="center" vertical="center" wrapText="1"/>
    </xf>
    <xf numFmtId="3" fontId="11" fillId="19" borderId="1" xfId="0" applyNumberFormat="1" applyFont="1" applyFill="1" applyBorder="1" applyAlignment="1">
      <alignment horizontal="right" vertical="center"/>
    </xf>
    <xf numFmtId="1" fontId="11" fillId="19" borderId="1" xfId="0" applyNumberFormat="1" applyFont="1" applyFill="1" applyBorder="1" applyAlignment="1">
      <alignment horizontal="right" vertical="center"/>
    </xf>
    <xf numFmtId="0" fontId="0" fillId="12" borderId="9" xfId="0" applyFill="1" applyBorder="1" applyAlignment="1"/>
    <xf numFmtId="0" fontId="25" fillId="12" borderId="10" xfId="0" applyFont="1" applyFill="1" applyBorder="1" applyAlignment="1"/>
    <xf numFmtId="14" fontId="0" fillId="12" borderId="10" xfId="0" applyNumberFormat="1" applyFill="1" applyBorder="1" applyAlignment="1"/>
    <xf numFmtId="0" fontId="0" fillId="12" borderId="10" xfId="0" applyFill="1" applyBorder="1" applyAlignment="1"/>
    <xf numFmtId="41" fontId="0" fillId="12" borderId="10" xfId="0" applyNumberFormat="1" applyFill="1" applyBorder="1" applyAlignment="1"/>
    <xf numFmtId="0" fontId="0" fillId="12" borderId="11" xfId="0" applyFill="1" applyBorder="1" applyAlignment="1"/>
    <xf numFmtId="0" fontId="0" fillId="12" borderId="12" xfId="0" applyFill="1" applyBorder="1" applyAlignment="1"/>
    <xf numFmtId="0" fontId="25" fillId="12" borderId="13" xfId="0" applyFont="1" applyFill="1" applyBorder="1" applyAlignment="1"/>
    <xf numFmtId="14" fontId="0" fillId="12" borderId="13" xfId="0" applyNumberFormat="1" applyFill="1" applyBorder="1" applyAlignment="1"/>
    <xf numFmtId="0" fontId="0" fillId="12" borderId="13" xfId="0" applyFill="1" applyBorder="1" applyAlignment="1"/>
    <xf numFmtId="41" fontId="0" fillId="12" borderId="13" xfId="0" applyNumberFormat="1" applyFill="1" applyBorder="1" applyAlignment="1"/>
    <xf numFmtId="0" fontId="0" fillId="12" borderId="14" xfId="0" applyFill="1" applyBorder="1" applyAlignment="1"/>
    <xf numFmtId="0" fontId="0" fillId="12" borderId="15" xfId="0" applyFill="1" applyBorder="1" applyAlignment="1"/>
    <xf numFmtId="0" fontId="10" fillId="12" borderId="16" xfId="0" applyFont="1" applyFill="1" applyBorder="1" applyAlignment="1">
      <alignment horizontal="center" vertical="center"/>
    </xf>
    <xf numFmtId="0" fontId="26" fillId="12" borderId="17" xfId="0" applyFont="1" applyFill="1" applyBorder="1" applyAlignment="1">
      <alignment horizontal="center" vertical="center"/>
    </xf>
    <xf numFmtId="14" fontId="10" fillId="12" borderId="17" xfId="0" applyNumberFormat="1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41" fontId="10" fillId="12" borderId="17" xfId="0" applyNumberFormat="1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26" fillId="12" borderId="20" xfId="0" applyFont="1" applyFill="1" applyBorder="1" applyAlignment="1">
      <alignment horizontal="center" vertical="center"/>
    </xf>
    <xf numFmtId="14" fontId="10" fillId="12" borderId="20" xfId="0" applyNumberFormat="1" applyFont="1" applyFill="1" applyBorder="1" applyAlignment="1">
      <alignment horizontal="center" vertical="center"/>
    </xf>
    <xf numFmtId="0" fontId="10" fillId="12" borderId="20" xfId="0" applyFont="1" applyFill="1" applyBorder="1" applyAlignment="1">
      <alignment horizontal="center" vertical="center"/>
    </xf>
    <xf numFmtId="41" fontId="10" fillId="12" borderId="20" xfId="0" applyNumberFormat="1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4" fontId="10" fillId="12" borderId="23" xfId="0" applyNumberFormat="1" applyFont="1" applyFill="1" applyBorder="1" applyAlignment="1">
      <alignment horizontal="center" vertical="center"/>
    </xf>
    <xf numFmtId="0" fontId="10" fillId="12" borderId="23" xfId="0" applyFont="1" applyFill="1" applyBorder="1" applyAlignment="1">
      <alignment horizontal="center" vertical="center"/>
    </xf>
    <xf numFmtId="41" fontId="10" fillId="12" borderId="23" xfId="0" applyNumberFormat="1" applyFont="1" applyFill="1" applyBorder="1" applyAlignment="1">
      <alignment horizontal="center" vertical="center"/>
    </xf>
    <xf numFmtId="0" fontId="10" fillId="12" borderId="24" xfId="0" applyFont="1" applyFill="1" applyBorder="1" applyAlignment="1">
      <alignment horizontal="center" vertical="center"/>
    </xf>
    <xf numFmtId="0" fontId="26" fillId="20" borderId="25" xfId="0" applyFont="1" applyFill="1" applyBorder="1" applyAlignment="1">
      <alignment horizontal="center" vertical="center"/>
    </xf>
    <xf numFmtId="0" fontId="26" fillId="20" borderId="26" xfId="0" applyFont="1" applyFill="1" applyBorder="1" applyAlignment="1">
      <alignment horizontal="center" vertical="center"/>
    </xf>
    <xf numFmtId="14" fontId="26" fillId="20" borderId="26" xfId="0" applyNumberFormat="1" applyFont="1" applyFill="1" applyBorder="1" applyAlignment="1">
      <alignment horizontal="center" vertical="center"/>
    </xf>
    <xf numFmtId="0" fontId="26" fillId="20" borderId="27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vertical="center"/>
    </xf>
    <xf numFmtId="0" fontId="26" fillId="20" borderId="2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19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5" fillId="17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1" fillId="19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left" vertical="center"/>
    </xf>
    <xf numFmtId="0" fontId="11" fillId="19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29" fillId="12" borderId="28" xfId="0" applyFont="1" applyFill="1" applyBorder="1" applyAlignment="1"/>
    <xf numFmtId="0" fontId="29" fillId="12" borderId="29" xfId="0" applyFont="1" applyFill="1" applyBorder="1" applyAlignment="1"/>
    <xf numFmtId="0" fontId="10" fillId="12" borderId="17" xfId="0" applyFont="1" applyFill="1" applyBorder="1" applyAlignment="1">
      <alignment horizontal="left" vertical="center"/>
    </xf>
    <xf numFmtId="0" fontId="10" fillId="12" borderId="23" xfId="0" applyFont="1" applyFill="1" applyBorder="1" applyAlignment="1">
      <alignment horizontal="left" vertical="center"/>
    </xf>
  </cellXfs>
  <cellStyles count="1">
    <cellStyle name="표준" xfId="0" builtinId="0"/>
  </cellStyles>
  <dxfs count="1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F0F7FF"/>
      <rgbColor rgb="FF800000"/>
      <rgbColor rgb="FF14532D"/>
      <rgbColor rgb="FF000080"/>
      <rgbColor rgb="FF777777"/>
      <rgbColor rgb="FF800080"/>
      <rgbColor rgb="FF065F46"/>
      <rgbColor rgb="FFCCCCCC"/>
      <rgbColor rgb="FF888888"/>
      <rgbColor rgb="FF9AB0C5"/>
      <rgbColor rgb="FF555555"/>
      <rgbColor rgb="FFFFFACD"/>
      <rgbColor rgb="FFE8F5E9"/>
      <rgbColor rgb="FF660066"/>
      <rgbColor rgb="FFE2E8F0"/>
      <rgbColor rgb="FF375A7F"/>
      <rgbColor rgb="FFCBD5E1"/>
      <rgbColor rgb="FF000080"/>
      <rgbColor rgb="FFFF00FF"/>
      <rgbColor rgb="FFFFF2CC"/>
      <rgbColor rgb="FFF8FAFC"/>
      <rgbColor rgb="FF800080"/>
      <rgbColor rgb="FF800000"/>
      <rgbColor rgb="FF008080"/>
      <rgbColor rgb="FF0000FF"/>
      <rgbColor rgb="FF00CCFF"/>
      <rgbColor rgb="FFBBF7D0"/>
      <rgbColor rgb="FFD1FAE5"/>
      <rgbColor rgb="FFFFFF99"/>
      <rgbColor rgb="FFD1D5DB"/>
      <rgbColor rgb="FFF3E5F5"/>
      <rgbColor rgb="FFD6E4F0"/>
      <rgbColor rgb="FFFEF3C7"/>
      <rgbColor rgb="FF2E75B6"/>
      <rgbColor rgb="FFEFF6FF"/>
      <rgbColor rgb="FFEBF3FB"/>
      <rgbColor rgb="FFFFF3E0"/>
      <rgbColor rgb="FFFDF3EC"/>
      <rgbColor rgb="FFFFF1F2"/>
      <rgbColor rgb="FF6B7280"/>
      <rgbColor rgb="FF9CA3AF"/>
      <rgbColor rgb="FF1B3A6B"/>
      <rgbColor rgb="FFFFFBEB"/>
      <rgbColor rgb="FF111827"/>
      <rgbColor rgb="FF444444"/>
      <rgbColor rgb="FF833C00"/>
      <rgbColor rgb="FF993366"/>
      <rgbColor rgb="FF1F4E7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showGridLines="0" zoomScaleNormal="100" workbookViewId="0">
      <selection activeCell="F58" sqref="F58"/>
    </sheetView>
  </sheetViews>
  <sheetFormatPr defaultColWidth="8.5" defaultRowHeight="16.5"/>
  <cols>
    <col min="1" max="1" width="12" style="1" customWidth="1"/>
    <col min="2" max="2" width="26" style="1" customWidth="1"/>
    <col min="3" max="14" width="11" style="1" customWidth="1"/>
    <col min="15" max="15" width="13" style="1" customWidth="1"/>
    <col min="16" max="16" width="10" style="1" customWidth="1"/>
  </cols>
  <sheetData>
    <row r="1" spans="1:16" ht="36" customHeight="1">
      <c r="A1" s="126" t="s">
        <v>67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</row>
    <row r="2" spans="1:16" ht="19.5" customHeight="1">
      <c r="A2" s="127" t="s">
        <v>48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1:16" s="83" customFormat="1" ht="27.75" customHeight="1">
      <c r="A3" s="84" t="s">
        <v>0</v>
      </c>
      <c r="B3" s="84" t="s">
        <v>1</v>
      </c>
      <c r="C3" s="84" t="s">
        <v>49</v>
      </c>
      <c r="D3" s="84" t="s">
        <v>50</v>
      </c>
      <c r="E3" s="84" t="s">
        <v>51</v>
      </c>
      <c r="F3" s="84" t="s">
        <v>52</v>
      </c>
      <c r="G3" s="84" t="s">
        <v>53</v>
      </c>
      <c r="H3" s="84" t="s">
        <v>54</v>
      </c>
      <c r="I3" s="84" t="s">
        <v>55</v>
      </c>
      <c r="J3" s="84" t="s">
        <v>56</v>
      </c>
      <c r="K3" s="84" t="s">
        <v>57</v>
      </c>
      <c r="L3" s="84" t="s">
        <v>58</v>
      </c>
      <c r="M3" s="84" t="s">
        <v>59</v>
      </c>
      <c r="N3" s="84" t="s">
        <v>60</v>
      </c>
      <c r="O3" s="84" t="s">
        <v>2</v>
      </c>
      <c r="P3" s="84" t="s">
        <v>3</v>
      </c>
    </row>
    <row r="4" spans="1:16" ht="16.5" customHeight="1">
      <c r="A4" s="123" t="s">
        <v>4</v>
      </c>
      <c r="B4" s="8" t="s">
        <v>5</v>
      </c>
      <c r="C4" s="76">
        <f>IFERROR(SUMIFS(사용내역!$H$3:$H$2003,사용내역!$C$3:$C$2003,"본사",사용내역!$E$3:$E$2003,1,사용내역!$F$3:$F$2003,"안전관리자 등 인건비"),0)</f>
        <v>0</v>
      </c>
      <c r="D4" s="76">
        <f>IFERROR(SUMIFS(사용내역!$H$3:$H$2003,사용내역!$C$3:$C$2003,"본사",사용내역!$E$3:$E$2003,2,사용내역!$F$3:$F$2003,"안전관리자 등 인건비"),0)</f>
        <v>0</v>
      </c>
      <c r="E4" s="76">
        <f>IFERROR(SUMIFS(사용내역!$H$3:$H$2003,사용내역!$C$3:$C$2003,"본사",사용내역!$E$3:$E$2003,3,사용내역!$F$3:$F$2003,"안전관리자 등 인건비"),0)</f>
        <v>0</v>
      </c>
      <c r="F4" s="76">
        <f>IFERROR(SUMIFS(사용내역!$H$3:$H$2003,사용내역!$C$3:$C$2003,"본사",사용내역!$E$3:$E$2003,4,사용내역!$F$3:$F$2003,"안전관리자 등 인건비"),0)</f>
        <v>0</v>
      </c>
      <c r="G4" s="76">
        <f>IFERROR(SUMIFS(사용내역!$H$3:$H$2003,사용내역!$C$3:$C$2003,"본사",사용내역!$E$3:$E$2003,5,사용내역!$F$3:$F$2003,"안전관리자 등 인건비"),0)</f>
        <v>0</v>
      </c>
      <c r="H4" s="76">
        <f>IFERROR(SUMIFS(사용내역!$H$3:$H$2003,사용내역!$C$3:$C$2003,"본사",사용내역!$E$3:$E$2003,6,사용내역!$F$3:$F$2003,"안전관리자 등 인건비"),0)</f>
        <v>0</v>
      </c>
      <c r="I4" s="76">
        <f>IFERROR(SUMIFS(사용내역!$H$3:$H$2003,사용내역!$C$3:$C$2003,"본사",사용내역!$E$3:$E$2003,7,사용내역!$F$3:$F$2003,"안전관리자 등 인건비"),0)</f>
        <v>0</v>
      </c>
      <c r="J4" s="76">
        <f>IFERROR(SUMIFS(사용내역!$H$3:$H$2003,사용내역!$C$3:$C$2003,"본사",사용내역!$E$3:$E$2003,8,사용내역!$F$3:$F$2003,"안전관리자 등 인건비"),0)</f>
        <v>0</v>
      </c>
      <c r="K4" s="76">
        <f>IFERROR(SUMIFS(사용내역!$H$3:$H$2003,사용내역!$C$3:$C$2003,"본사",사용내역!$E$3:$E$2003,9,사용내역!$F$3:$F$2003,"안전관리자 등 인건비"),0)</f>
        <v>0</v>
      </c>
      <c r="L4" s="76">
        <f>IFERROR(SUMIFS(사용내역!$H$3:$H$2003,사용내역!$C$3:$C$2003,"본사",사용내역!$E$3:$E$2003,10,사용내역!$F$3:$F$2003,"안전관리자 등 인건비"),0)</f>
        <v>0</v>
      </c>
      <c r="M4" s="76">
        <f>IFERROR(SUMIFS(사용내역!$H$3:$H$2003,사용내역!$C$3:$C$2003,"본사",사용내역!$E$3:$E$2003,11,사용내역!$F$3:$F$2003,"안전관리자 등 인건비"),0)</f>
        <v>0</v>
      </c>
      <c r="N4" s="76">
        <f>IFERROR(SUMIFS(사용내역!$H$3:$H$2003,사용내역!$C$3:$C$2003,"본사",사용내역!$E$3:$E$2003,12,사용내역!$F$3:$F$2003,"안전관리자 등 인건비"),0)</f>
        <v>0</v>
      </c>
      <c r="O4" s="77">
        <f t="shared" ref="O4:O12" si="0">SUM(C4:N4)</f>
        <v>0</v>
      </c>
      <c r="P4" s="78">
        <f>IFERROR(COUNTIFS(사용내역!$C$3:$C$2003,"본사",사용내역!$F$3:$F$2003,"안전관리자 등 인건비",사용내역!$J$3:$J$2003,"Y"),0)</f>
        <v>0</v>
      </c>
    </row>
    <row r="5" spans="1:16" ht="16.5" customHeight="1">
      <c r="A5" s="123"/>
      <c r="B5" s="12" t="s">
        <v>6</v>
      </c>
      <c r="C5" s="79">
        <f>IFERROR(SUMIFS(사용내역!$H$3:$H$2003,사용내역!$C$3:$C$2003,"본사",사용내역!$E$3:$E$2003,1,사용내역!$F$3:$F$2003,"안전시설비"),0)</f>
        <v>0</v>
      </c>
      <c r="D5" s="79">
        <f>IFERROR(SUMIFS(사용내역!$H$3:$H$2003,사용내역!$C$3:$C$2003,"본사",사용내역!$E$3:$E$2003,2,사용내역!$F$3:$F$2003,"안전시설비"),0)</f>
        <v>0</v>
      </c>
      <c r="E5" s="79">
        <f>IFERROR(SUMIFS(사용내역!$H$3:$H$2003,사용내역!$C$3:$C$2003,"본사",사용내역!$E$3:$E$2003,3,사용내역!$F$3:$F$2003,"안전시설비"),0)</f>
        <v>0</v>
      </c>
      <c r="F5" s="79">
        <f>IFERROR(SUMIFS(사용내역!$H$3:$H$2003,사용내역!$C$3:$C$2003,"본사",사용내역!$E$3:$E$2003,4,사용내역!$F$3:$F$2003,"안전시설비"),0)</f>
        <v>0</v>
      </c>
      <c r="G5" s="79">
        <f>IFERROR(SUMIFS(사용내역!$H$3:$H$2003,사용내역!$C$3:$C$2003,"본사",사용내역!$E$3:$E$2003,5,사용내역!$F$3:$F$2003,"안전시설비"),0)</f>
        <v>0</v>
      </c>
      <c r="H5" s="79">
        <f>IFERROR(SUMIFS(사용내역!$H$3:$H$2003,사용내역!$C$3:$C$2003,"본사",사용내역!$E$3:$E$2003,6,사용내역!$F$3:$F$2003,"안전시설비"),0)</f>
        <v>0</v>
      </c>
      <c r="I5" s="79">
        <f>IFERROR(SUMIFS(사용내역!$H$3:$H$2003,사용내역!$C$3:$C$2003,"본사",사용내역!$E$3:$E$2003,7,사용내역!$F$3:$F$2003,"안전시설비"),0)</f>
        <v>0</v>
      </c>
      <c r="J5" s="79">
        <f>IFERROR(SUMIFS(사용내역!$H$3:$H$2003,사용내역!$C$3:$C$2003,"본사",사용내역!$E$3:$E$2003,8,사용내역!$F$3:$F$2003,"안전시설비"),0)</f>
        <v>0</v>
      </c>
      <c r="K5" s="79">
        <f>IFERROR(SUMIFS(사용내역!$H$3:$H$2003,사용내역!$C$3:$C$2003,"본사",사용내역!$E$3:$E$2003,9,사용내역!$F$3:$F$2003,"안전시설비"),0)</f>
        <v>0</v>
      </c>
      <c r="L5" s="79">
        <f>IFERROR(SUMIFS(사용내역!$H$3:$H$2003,사용내역!$C$3:$C$2003,"본사",사용내역!$E$3:$E$2003,10,사용내역!$F$3:$F$2003,"안전시설비"),0)</f>
        <v>0</v>
      </c>
      <c r="M5" s="79">
        <f>IFERROR(SUMIFS(사용내역!$H$3:$H$2003,사용내역!$C$3:$C$2003,"본사",사용내역!$E$3:$E$2003,11,사용내역!$F$3:$F$2003,"안전시설비"),0)</f>
        <v>0</v>
      </c>
      <c r="N5" s="79">
        <f>IFERROR(SUMIFS(사용내역!$H$3:$H$2003,사용내역!$C$3:$C$2003,"본사",사용내역!$E$3:$E$2003,12,사용내역!$F$3:$F$2003,"안전시설비"),0)</f>
        <v>0</v>
      </c>
      <c r="O5" s="77">
        <f t="shared" si="0"/>
        <v>0</v>
      </c>
      <c r="P5" s="80">
        <f>IFERROR(COUNTIFS(사용내역!$C$3:$C$2003,"본사",사용내역!$F$3:$F$2003,"안전시설비",사용내역!$J$3:$J$2003,"Y"),0)</f>
        <v>0</v>
      </c>
    </row>
    <row r="6" spans="1:16" ht="16.5" customHeight="1">
      <c r="A6" s="123"/>
      <c r="B6" s="8" t="s">
        <v>7</v>
      </c>
      <c r="C6" s="76">
        <f>IFERROR(SUMIFS(사용내역!$H$3:$H$2003,사용내역!$C$3:$C$2003,"본사",사용내역!$E$3:$E$2003,1,사용내역!$F$3:$F$2003,"보호구·안전용품"),0)</f>
        <v>0</v>
      </c>
      <c r="D6" s="76">
        <f>IFERROR(SUMIFS(사용내역!$H$3:$H$2003,사용내역!$C$3:$C$2003,"본사",사용내역!$E$3:$E$2003,2,사용내역!$F$3:$F$2003,"보호구·안전용품"),0)</f>
        <v>0</v>
      </c>
      <c r="E6" s="76">
        <f>IFERROR(SUMIFS(사용내역!$H$3:$H$2003,사용내역!$C$3:$C$2003,"본사",사용내역!$E$3:$E$2003,3,사용내역!$F$3:$F$2003,"보호구·안전용품"),0)</f>
        <v>0</v>
      </c>
      <c r="F6" s="76">
        <f>IFERROR(SUMIFS(사용내역!$H$3:$H$2003,사용내역!$C$3:$C$2003,"본사",사용내역!$E$3:$E$2003,4,사용내역!$F$3:$F$2003,"보호구·안전용품"),0)</f>
        <v>0</v>
      </c>
      <c r="G6" s="76">
        <f>IFERROR(SUMIFS(사용내역!$H$3:$H$2003,사용내역!$C$3:$C$2003,"본사",사용내역!$E$3:$E$2003,5,사용내역!$F$3:$F$2003,"보호구·안전용품"),0)</f>
        <v>0</v>
      </c>
      <c r="H6" s="76">
        <f>IFERROR(SUMIFS(사용내역!$H$3:$H$2003,사용내역!$C$3:$C$2003,"본사",사용내역!$E$3:$E$2003,6,사용내역!$F$3:$F$2003,"보호구·안전용품"),0)</f>
        <v>0</v>
      </c>
      <c r="I6" s="76">
        <f>IFERROR(SUMIFS(사용내역!$H$3:$H$2003,사용내역!$C$3:$C$2003,"본사",사용내역!$E$3:$E$2003,7,사용내역!$F$3:$F$2003,"보호구·안전용품"),0)</f>
        <v>0</v>
      </c>
      <c r="J6" s="76">
        <f>IFERROR(SUMIFS(사용내역!$H$3:$H$2003,사용내역!$C$3:$C$2003,"본사",사용내역!$E$3:$E$2003,8,사용내역!$F$3:$F$2003,"보호구·안전용품"),0)</f>
        <v>0</v>
      </c>
      <c r="K6" s="76">
        <f>IFERROR(SUMIFS(사용내역!$H$3:$H$2003,사용내역!$C$3:$C$2003,"본사",사용내역!$E$3:$E$2003,9,사용내역!$F$3:$F$2003,"보호구·안전용품"),0)</f>
        <v>0</v>
      </c>
      <c r="L6" s="76">
        <f>IFERROR(SUMIFS(사용내역!$H$3:$H$2003,사용내역!$C$3:$C$2003,"본사",사용내역!$E$3:$E$2003,10,사용내역!$F$3:$F$2003,"보호구·안전용품"),0)</f>
        <v>0</v>
      </c>
      <c r="M6" s="76">
        <f>IFERROR(SUMIFS(사용내역!$H$3:$H$2003,사용내역!$C$3:$C$2003,"본사",사용내역!$E$3:$E$2003,11,사용내역!$F$3:$F$2003,"보호구·안전용품"),0)</f>
        <v>0</v>
      </c>
      <c r="N6" s="76">
        <f>IFERROR(SUMIFS(사용내역!$H$3:$H$2003,사용내역!$C$3:$C$2003,"본사",사용내역!$E$3:$E$2003,12,사용내역!$F$3:$F$2003,"보호구·안전용품"),0)</f>
        <v>0</v>
      </c>
      <c r="O6" s="77">
        <f t="shared" si="0"/>
        <v>0</v>
      </c>
      <c r="P6" s="78">
        <f>IFERROR(COUNTIFS(사용내역!$C$3:$C$2003,"본사",사용내역!$F$3:$F$2003,"보호구·안전용품",사용내역!$J$3:$J$2003,"Y"),0)</f>
        <v>0</v>
      </c>
    </row>
    <row r="7" spans="1:16" ht="16.5" customHeight="1">
      <c r="A7" s="123"/>
      <c r="B7" s="12" t="s">
        <v>8</v>
      </c>
      <c r="C7" s="79">
        <f>IFERROR(SUMIFS(사용내역!$H$3:$H$2003,사용내역!$C$3:$C$2003,"본사",사용내역!$E$3:$E$2003,1,사용내역!$F$3:$F$2003,"안전진단비"),0)</f>
        <v>0</v>
      </c>
      <c r="D7" s="79">
        <f>IFERROR(SUMIFS(사용내역!$H$3:$H$2003,사용내역!$C$3:$C$2003,"본사",사용내역!$E$3:$E$2003,2,사용내역!$F$3:$F$2003,"안전진단비"),0)</f>
        <v>0</v>
      </c>
      <c r="E7" s="79">
        <f>IFERROR(SUMIFS(사용내역!$H$3:$H$2003,사용내역!$C$3:$C$2003,"본사",사용내역!$E$3:$E$2003,3,사용내역!$F$3:$F$2003,"안전진단비"),0)</f>
        <v>0</v>
      </c>
      <c r="F7" s="79">
        <f>IFERROR(SUMIFS(사용내역!$H$3:$H$2003,사용내역!$C$3:$C$2003,"본사",사용내역!$E$3:$E$2003,4,사용내역!$F$3:$F$2003,"안전진단비"),0)</f>
        <v>0</v>
      </c>
      <c r="G7" s="79">
        <f>IFERROR(SUMIFS(사용내역!$H$3:$H$2003,사용내역!$C$3:$C$2003,"본사",사용내역!$E$3:$E$2003,5,사용내역!$F$3:$F$2003,"안전진단비"),0)</f>
        <v>0</v>
      </c>
      <c r="H7" s="79">
        <f>IFERROR(SUMIFS(사용내역!$H$3:$H$2003,사용내역!$C$3:$C$2003,"본사",사용내역!$E$3:$E$2003,6,사용내역!$F$3:$F$2003,"안전진단비"),0)</f>
        <v>0</v>
      </c>
      <c r="I7" s="79">
        <f>IFERROR(SUMIFS(사용내역!$H$3:$H$2003,사용내역!$C$3:$C$2003,"본사",사용내역!$E$3:$E$2003,7,사용내역!$F$3:$F$2003,"안전진단비"),0)</f>
        <v>0</v>
      </c>
      <c r="J7" s="79">
        <f>IFERROR(SUMIFS(사용내역!$H$3:$H$2003,사용내역!$C$3:$C$2003,"본사",사용내역!$E$3:$E$2003,8,사용내역!$F$3:$F$2003,"안전진단비"),0)</f>
        <v>0</v>
      </c>
      <c r="K7" s="79">
        <f>IFERROR(SUMIFS(사용내역!$H$3:$H$2003,사용내역!$C$3:$C$2003,"본사",사용내역!$E$3:$E$2003,9,사용내역!$F$3:$F$2003,"안전진단비"),0)</f>
        <v>0</v>
      </c>
      <c r="L7" s="79">
        <f>IFERROR(SUMIFS(사용내역!$H$3:$H$2003,사용내역!$C$3:$C$2003,"본사",사용내역!$E$3:$E$2003,10,사용내역!$F$3:$F$2003,"안전진단비"),0)</f>
        <v>0</v>
      </c>
      <c r="M7" s="79">
        <f>IFERROR(SUMIFS(사용내역!$H$3:$H$2003,사용내역!$C$3:$C$2003,"본사",사용내역!$E$3:$E$2003,11,사용내역!$F$3:$F$2003,"안전진단비"),0)</f>
        <v>0</v>
      </c>
      <c r="N7" s="79">
        <f>IFERROR(SUMIFS(사용내역!$H$3:$H$2003,사용내역!$C$3:$C$2003,"본사",사용내역!$E$3:$E$2003,12,사용내역!$F$3:$F$2003,"안전진단비"),0)</f>
        <v>0</v>
      </c>
      <c r="O7" s="77">
        <f t="shared" si="0"/>
        <v>0</v>
      </c>
      <c r="P7" s="80">
        <f>IFERROR(COUNTIFS(사용내역!$C$3:$C$2003,"본사",사용내역!$F$3:$F$2003,"안전진단비",사용내역!$J$3:$J$2003,"Y"),0)</f>
        <v>0</v>
      </c>
    </row>
    <row r="8" spans="1:16" ht="16.5" customHeight="1">
      <c r="A8" s="123"/>
      <c r="B8" s="8" t="s">
        <v>9</v>
      </c>
      <c r="C8" s="76">
        <f>IFERROR(SUMIFS(사용내역!$H$3:$H$2003,사용내역!$C$3:$C$2003,"본사",사용내역!$E$3:$E$2003,1,사용내역!$F$3:$F$2003,"안전보건교육비·행사비 등"),0)</f>
        <v>0</v>
      </c>
      <c r="D8" s="76">
        <f>IFERROR(SUMIFS(사용내역!$H$3:$H$2003,사용내역!$C$3:$C$2003,"본사",사용내역!$E$3:$E$2003,2,사용내역!$F$3:$F$2003,"안전보건교육비·행사비 등"),0)</f>
        <v>0</v>
      </c>
      <c r="E8" s="76">
        <f>IFERROR(SUMIFS(사용내역!$H$3:$H$2003,사용내역!$C$3:$C$2003,"본사",사용내역!$E$3:$E$2003,3,사용내역!$F$3:$F$2003,"안전보건교육비·행사비 등"),0)</f>
        <v>0</v>
      </c>
      <c r="F8" s="76">
        <f>IFERROR(SUMIFS(사용내역!$H$3:$H$2003,사용내역!$C$3:$C$2003,"본사",사용내역!$E$3:$E$2003,4,사용내역!$F$3:$F$2003,"안전보건교육비·행사비 등"),0)</f>
        <v>0</v>
      </c>
      <c r="G8" s="76">
        <f>IFERROR(SUMIFS(사용내역!$H$3:$H$2003,사용내역!$C$3:$C$2003,"본사",사용내역!$E$3:$E$2003,5,사용내역!$F$3:$F$2003,"안전보건교육비·행사비 등"),0)</f>
        <v>0</v>
      </c>
      <c r="H8" s="76">
        <f>IFERROR(SUMIFS(사용내역!$H$3:$H$2003,사용내역!$C$3:$C$2003,"본사",사용내역!$E$3:$E$2003,6,사용내역!$F$3:$F$2003,"안전보건교육비·행사비 등"),0)</f>
        <v>0</v>
      </c>
      <c r="I8" s="76">
        <f>IFERROR(SUMIFS(사용내역!$H$3:$H$2003,사용내역!$C$3:$C$2003,"본사",사용내역!$E$3:$E$2003,7,사용내역!$F$3:$F$2003,"안전보건교육비·행사비 등"),0)</f>
        <v>0</v>
      </c>
      <c r="J8" s="76">
        <f>IFERROR(SUMIFS(사용내역!$H$3:$H$2003,사용내역!$C$3:$C$2003,"본사",사용내역!$E$3:$E$2003,8,사용내역!$F$3:$F$2003,"안전보건교육비·행사비 등"),0)</f>
        <v>0</v>
      </c>
      <c r="K8" s="76">
        <f>IFERROR(SUMIFS(사용내역!$H$3:$H$2003,사용내역!$C$3:$C$2003,"본사",사용내역!$E$3:$E$2003,9,사용내역!$F$3:$F$2003,"안전보건교육비·행사비 등"),0)</f>
        <v>0</v>
      </c>
      <c r="L8" s="76">
        <f>IFERROR(SUMIFS(사용내역!$H$3:$H$2003,사용내역!$C$3:$C$2003,"본사",사용내역!$E$3:$E$2003,10,사용내역!$F$3:$F$2003,"안전보건교육비·행사비 등"),0)</f>
        <v>0</v>
      </c>
      <c r="M8" s="76">
        <f>IFERROR(SUMIFS(사용내역!$H$3:$H$2003,사용내역!$C$3:$C$2003,"본사",사용내역!$E$3:$E$2003,11,사용내역!$F$3:$F$2003,"안전보건교육비·행사비 등"),0)</f>
        <v>0</v>
      </c>
      <c r="N8" s="76">
        <f>IFERROR(SUMIFS(사용내역!$H$3:$H$2003,사용내역!$C$3:$C$2003,"본사",사용내역!$E$3:$E$2003,12,사용내역!$F$3:$F$2003,"안전보건교육비·행사비 등"),0)</f>
        <v>0</v>
      </c>
      <c r="O8" s="77">
        <f t="shared" si="0"/>
        <v>0</v>
      </c>
      <c r="P8" s="78">
        <f>IFERROR(COUNTIFS(사용내역!$C$3:$C$2003,"본사",사용내역!$F$3:$F$2003,"안전보건교육비·행사비 등",사용내역!$J$3:$J$2003,"Y"),0)</f>
        <v>0</v>
      </c>
    </row>
    <row r="9" spans="1:16" ht="16.5" customHeight="1">
      <c r="A9" s="123"/>
      <c r="B9" s="12" t="s">
        <v>10</v>
      </c>
      <c r="C9" s="79">
        <f>IFERROR(SUMIFS(사용내역!$H$3:$H$2003,사용내역!$C$3:$C$2003,"본사",사용내역!$E$3:$E$2003,1,사용내역!$F$3:$F$2003,"근로자 건강관리비 등"),0)</f>
        <v>0</v>
      </c>
      <c r="D9" s="79">
        <f>IFERROR(SUMIFS(사용내역!$H$3:$H$2003,사용내역!$C$3:$C$2003,"본사",사용내역!$E$3:$E$2003,2,사용내역!$F$3:$F$2003,"근로자 건강관리비 등"),0)</f>
        <v>0</v>
      </c>
      <c r="E9" s="79">
        <f>IFERROR(SUMIFS(사용내역!$H$3:$H$2003,사용내역!$C$3:$C$2003,"본사",사용내역!$E$3:$E$2003,3,사용내역!$F$3:$F$2003,"근로자 건강관리비 등"),0)</f>
        <v>0</v>
      </c>
      <c r="F9" s="79">
        <f>IFERROR(SUMIFS(사용내역!$H$3:$H$2003,사용내역!$C$3:$C$2003,"본사",사용내역!$E$3:$E$2003,4,사용내역!$F$3:$F$2003,"근로자 건강관리비 등"),0)</f>
        <v>0</v>
      </c>
      <c r="G9" s="79">
        <f>IFERROR(SUMIFS(사용내역!$H$3:$H$2003,사용내역!$C$3:$C$2003,"본사",사용내역!$E$3:$E$2003,5,사용내역!$F$3:$F$2003,"근로자 건강관리비 등"),0)</f>
        <v>0</v>
      </c>
      <c r="H9" s="79">
        <f>IFERROR(SUMIFS(사용내역!$H$3:$H$2003,사용내역!$C$3:$C$2003,"본사",사용내역!$E$3:$E$2003,6,사용내역!$F$3:$F$2003,"근로자 건강관리비 등"),0)</f>
        <v>0</v>
      </c>
      <c r="I9" s="79">
        <f>IFERROR(SUMIFS(사용내역!$H$3:$H$2003,사용내역!$C$3:$C$2003,"본사",사용내역!$E$3:$E$2003,7,사용내역!$F$3:$F$2003,"근로자 건강관리비 등"),0)</f>
        <v>0</v>
      </c>
      <c r="J9" s="79">
        <f>IFERROR(SUMIFS(사용내역!$H$3:$H$2003,사용내역!$C$3:$C$2003,"본사",사용내역!$E$3:$E$2003,8,사용내역!$F$3:$F$2003,"근로자 건강관리비 등"),0)</f>
        <v>0</v>
      </c>
      <c r="K9" s="79">
        <f>IFERROR(SUMIFS(사용내역!$H$3:$H$2003,사용내역!$C$3:$C$2003,"본사",사용내역!$E$3:$E$2003,9,사용내역!$F$3:$F$2003,"근로자 건강관리비 등"),0)</f>
        <v>0</v>
      </c>
      <c r="L9" s="79">
        <f>IFERROR(SUMIFS(사용내역!$H$3:$H$2003,사용내역!$C$3:$C$2003,"본사",사용내역!$E$3:$E$2003,10,사용내역!$F$3:$F$2003,"근로자 건강관리비 등"),0)</f>
        <v>0</v>
      </c>
      <c r="M9" s="79">
        <f>IFERROR(SUMIFS(사용내역!$H$3:$H$2003,사용내역!$C$3:$C$2003,"본사",사용내역!$E$3:$E$2003,11,사용내역!$F$3:$F$2003,"근로자 건강관리비 등"),0)</f>
        <v>0</v>
      </c>
      <c r="N9" s="79">
        <f>IFERROR(SUMIFS(사용내역!$H$3:$H$2003,사용내역!$C$3:$C$2003,"본사",사용내역!$E$3:$E$2003,12,사용내역!$F$3:$F$2003,"근로자 건강관리비 등"),0)</f>
        <v>0</v>
      </c>
      <c r="O9" s="77">
        <f t="shared" si="0"/>
        <v>0</v>
      </c>
      <c r="P9" s="80">
        <f>IFERROR(COUNTIFS(사용내역!$C$3:$C$2003,"본사",사용내역!$F$3:$F$2003,"근로자 건강관리비 등",사용내역!$J$3:$J$2003,"Y"),0)</f>
        <v>0</v>
      </c>
    </row>
    <row r="10" spans="1:16" ht="16.5" customHeight="1">
      <c r="A10" s="123"/>
      <c r="B10" s="8" t="s">
        <v>11</v>
      </c>
      <c r="C10" s="76">
        <f>IFERROR(SUMIFS(사용내역!$H$3:$H$2003,사용내역!$C$3:$C$2003,"본사",사용내역!$E$3:$E$2003,1,사용내역!$F$3:$F$2003,"건설재해예방 기술지도비"),0)</f>
        <v>0</v>
      </c>
      <c r="D10" s="76">
        <f>IFERROR(SUMIFS(사용내역!$H$3:$H$2003,사용내역!$C$3:$C$2003,"본사",사용내역!$E$3:$E$2003,2,사용내역!$F$3:$F$2003,"건설재해예방 기술지도비"),0)</f>
        <v>0</v>
      </c>
      <c r="E10" s="76">
        <f>IFERROR(SUMIFS(사용내역!$H$3:$H$2003,사용내역!$C$3:$C$2003,"본사",사용내역!$E$3:$E$2003,3,사용내역!$F$3:$F$2003,"건설재해예방 기술지도비"),0)</f>
        <v>0</v>
      </c>
      <c r="F10" s="76">
        <f>IFERROR(SUMIFS(사용내역!$H$3:$H$2003,사용내역!$C$3:$C$2003,"본사",사용내역!$E$3:$E$2003,4,사용내역!$F$3:$F$2003,"건설재해예방 기술지도비"),0)</f>
        <v>0</v>
      </c>
      <c r="G10" s="76">
        <f>IFERROR(SUMIFS(사용내역!$H$3:$H$2003,사용내역!$C$3:$C$2003,"본사",사용내역!$E$3:$E$2003,5,사용내역!$F$3:$F$2003,"건설재해예방 기술지도비"),0)</f>
        <v>0</v>
      </c>
      <c r="H10" s="76">
        <f>IFERROR(SUMIFS(사용내역!$H$3:$H$2003,사용내역!$C$3:$C$2003,"본사",사용내역!$E$3:$E$2003,6,사용내역!$F$3:$F$2003,"건설재해예방 기술지도비"),0)</f>
        <v>0</v>
      </c>
      <c r="I10" s="76">
        <f>IFERROR(SUMIFS(사용내역!$H$3:$H$2003,사용내역!$C$3:$C$2003,"본사",사용내역!$E$3:$E$2003,7,사용내역!$F$3:$F$2003,"건설재해예방 기술지도비"),0)</f>
        <v>0</v>
      </c>
      <c r="J10" s="76">
        <f>IFERROR(SUMIFS(사용내역!$H$3:$H$2003,사용내역!$C$3:$C$2003,"본사",사용내역!$E$3:$E$2003,8,사용내역!$F$3:$F$2003,"건설재해예방 기술지도비"),0)</f>
        <v>0</v>
      </c>
      <c r="K10" s="76">
        <f>IFERROR(SUMIFS(사용내역!$H$3:$H$2003,사용내역!$C$3:$C$2003,"본사",사용내역!$E$3:$E$2003,9,사용내역!$F$3:$F$2003,"건설재해예방 기술지도비"),0)</f>
        <v>0</v>
      </c>
      <c r="L10" s="76">
        <f>IFERROR(SUMIFS(사용내역!$H$3:$H$2003,사용내역!$C$3:$C$2003,"본사",사용내역!$E$3:$E$2003,10,사용내역!$F$3:$F$2003,"건설재해예방 기술지도비"),0)</f>
        <v>0</v>
      </c>
      <c r="M10" s="76">
        <f>IFERROR(SUMIFS(사용내역!$H$3:$H$2003,사용내역!$C$3:$C$2003,"본사",사용내역!$E$3:$E$2003,11,사용내역!$F$3:$F$2003,"건설재해예방 기술지도비"),0)</f>
        <v>0</v>
      </c>
      <c r="N10" s="76">
        <f>IFERROR(SUMIFS(사용내역!$H$3:$H$2003,사용내역!$C$3:$C$2003,"본사",사용내역!$E$3:$E$2003,12,사용내역!$F$3:$F$2003,"건설재해예방 기술지도비"),0)</f>
        <v>0</v>
      </c>
      <c r="O10" s="77">
        <f t="shared" si="0"/>
        <v>0</v>
      </c>
      <c r="P10" s="78">
        <f>IFERROR(COUNTIFS(사용내역!$C$3:$C$2003,"본사",사용내역!$F$3:$F$2003,"건설재해예방 기술지도비",사용내역!$J$3:$J$2003,"Y"),0)</f>
        <v>0</v>
      </c>
    </row>
    <row r="11" spans="1:16" ht="16.5" customHeight="1">
      <c r="A11" s="123"/>
      <c r="B11" s="12" t="s">
        <v>12</v>
      </c>
      <c r="C11" s="79">
        <f>IFERROR(SUMIFS(사용내역!$H$3:$H$2003,사용내역!$C$3:$C$2003,"본사",사용내역!$E$3:$E$2003,1,사용내역!$F$3:$F$2003,"기타"),0)</f>
        <v>0</v>
      </c>
      <c r="D11" s="79">
        <f>IFERROR(SUMIFS(사용내역!$H$3:$H$2003,사용내역!$C$3:$C$2003,"본사",사용내역!$E$3:$E$2003,2,사용내역!$F$3:$F$2003,"기타"),0)</f>
        <v>0</v>
      </c>
      <c r="E11" s="79">
        <f>IFERROR(SUMIFS(사용내역!$H$3:$H$2003,사용내역!$C$3:$C$2003,"본사",사용내역!$E$3:$E$2003,3,사용내역!$F$3:$F$2003,"기타"),0)</f>
        <v>0</v>
      </c>
      <c r="F11" s="79">
        <f>IFERROR(SUMIFS(사용내역!$H$3:$H$2003,사용내역!$C$3:$C$2003,"본사",사용내역!$E$3:$E$2003,4,사용내역!$F$3:$F$2003,"기타"),0)</f>
        <v>0</v>
      </c>
      <c r="G11" s="79">
        <f>IFERROR(SUMIFS(사용내역!$H$3:$H$2003,사용내역!$C$3:$C$2003,"본사",사용내역!$E$3:$E$2003,5,사용내역!$F$3:$F$2003,"기타"),0)</f>
        <v>0</v>
      </c>
      <c r="H11" s="79">
        <f>IFERROR(SUMIFS(사용내역!$H$3:$H$2003,사용내역!$C$3:$C$2003,"본사",사용내역!$E$3:$E$2003,6,사용내역!$F$3:$F$2003,"기타"),0)</f>
        <v>0</v>
      </c>
      <c r="I11" s="79">
        <f>IFERROR(SUMIFS(사용내역!$H$3:$H$2003,사용내역!$C$3:$C$2003,"본사",사용내역!$E$3:$E$2003,7,사용내역!$F$3:$F$2003,"기타"),0)</f>
        <v>0</v>
      </c>
      <c r="J11" s="79">
        <f>IFERROR(SUMIFS(사용내역!$H$3:$H$2003,사용내역!$C$3:$C$2003,"본사",사용내역!$E$3:$E$2003,8,사용내역!$F$3:$F$2003,"기타"),0)</f>
        <v>0</v>
      </c>
      <c r="K11" s="79">
        <f>IFERROR(SUMIFS(사용내역!$H$3:$H$2003,사용내역!$C$3:$C$2003,"본사",사용내역!$E$3:$E$2003,9,사용내역!$F$3:$F$2003,"기타"),0)</f>
        <v>0</v>
      </c>
      <c r="L11" s="79">
        <f>IFERROR(SUMIFS(사용내역!$H$3:$H$2003,사용내역!$C$3:$C$2003,"본사",사용내역!$E$3:$E$2003,10,사용내역!$F$3:$F$2003,"기타"),0)</f>
        <v>0</v>
      </c>
      <c r="M11" s="79">
        <f>IFERROR(SUMIFS(사용내역!$H$3:$H$2003,사용내역!$C$3:$C$2003,"본사",사용내역!$E$3:$E$2003,11,사용내역!$F$3:$F$2003,"기타"),0)</f>
        <v>0</v>
      </c>
      <c r="N11" s="79">
        <f>IFERROR(SUMIFS(사용내역!$H$3:$H$2003,사용내역!$C$3:$C$2003,"본사",사용내역!$E$3:$E$2003,12,사용내역!$F$3:$F$2003,"기타"),0)</f>
        <v>0</v>
      </c>
      <c r="O11" s="77">
        <f t="shared" si="0"/>
        <v>0</v>
      </c>
      <c r="P11" s="80">
        <f>IFERROR(COUNTIFS(사용내역!$C$3:$C$2003,"본사",사용내역!$F$3:$F$2003,"기타",사용내역!$J$3:$J$2003,"Y"),0)</f>
        <v>0</v>
      </c>
    </row>
    <row r="12" spans="1:16" ht="16.5" customHeight="1">
      <c r="A12" s="123"/>
      <c r="B12" s="8" t="s">
        <v>13</v>
      </c>
      <c r="C12" s="76">
        <f>IFERROR(SUMIFS(사용내역!$H$3:$H$2003,사용내역!$C$3:$C$2003,"본사",사용내역!$E$3:$E$2003,1,사용내역!$F$3:$F$2003,"산보위·위험성평가 안건"),0)</f>
        <v>0</v>
      </c>
      <c r="D12" s="76">
        <f>IFERROR(SUMIFS(사용내역!$H$3:$H$2003,사용내역!$C$3:$C$2003,"본사",사용내역!$E$3:$E$2003,2,사용내역!$F$3:$F$2003,"산보위·위험성평가 안건"),0)</f>
        <v>0</v>
      </c>
      <c r="E12" s="76">
        <f>IFERROR(SUMIFS(사용내역!$H$3:$H$2003,사용내역!$C$3:$C$2003,"본사",사용내역!$E$3:$E$2003,3,사용내역!$F$3:$F$2003,"산보위·위험성평가 안건"),0)</f>
        <v>0</v>
      </c>
      <c r="F12" s="76">
        <f>IFERROR(SUMIFS(사용내역!$H$3:$H$2003,사용내역!$C$3:$C$2003,"본사",사용내역!$E$3:$E$2003,4,사용내역!$F$3:$F$2003,"산보위·위험성평가 안건"),0)</f>
        <v>0</v>
      </c>
      <c r="G12" s="76">
        <f>IFERROR(SUMIFS(사용내역!$H$3:$H$2003,사용내역!$C$3:$C$2003,"본사",사용내역!$E$3:$E$2003,5,사용내역!$F$3:$F$2003,"산보위·위험성평가 안건"),0)</f>
        <v>0</v>
      </c>
      <c r="H12" s="76">
        <f>IFERROR(SUMIFS(사용내역!$H$3:$H$2003,사용내역!$C$3:$C$2003,"본사",사용내역!$E$3:$E$2003,6,사용내역!$F$3:$F$2003,"산보위·위험성평가 안건"),0)</f>
        <v>0</v>
      </c>
      <c r="I12" s="76">
        <f>IFERROR(SUMIFS(사용내역!$H$3:$H$2003,사용내역!$C$3:$C$2003,"본사",사용내역!$E$3:$E$2003,7,사용내역!$F$3:$F$2003,"산보위·위험성평가 안건"),0)</f>
        <v>0</v>
      </c>
      <c r="J12" s="76">
        <f>IFERROR(SUMIFS(사용내역!$H$3:$H$2003,사용내역!$C$3:$C$2003,"본사",사용내역!$E$3:$E$2003,8,사용내역!$F$3:$F$2003,"산보위·위험성평가 안건"),0)</f>
        <v>0</v>
      </c>
      <c r="K12" s="76">
        <f>IFERROR(SUMIFS(사용내역!$H$3:$H$2003,사용내역!$C$3:$C$2003,"본사",사용내역!$E$3:$E$2003,9,사용내역!$F$3:$F$2003,"산보위·위험성평가 안건"),0)</f>
        <v>0</v>
      </c>
      <c r="L12" s="76">
        <f>IFERROR(SUMIFS(사용내역!$H$3:$H$2003,사용내역!$C$3:$C$2003,"본사",사용내역!$E$3:$E$2003,10,사용내역!$F$3:$F$2003,"산보위·위험성평가 안건"),0)</f>
        <v>0</v>
      </c>
      <c r="M12" s="76">
        <f>IFERROR(SUMIFS(사용내역!$H$3:$H$2003,사용내역!$C$3:$C$2003,"본사",사용내역!$E$3:$E$2003,11,사용내역!$F$3:$F$2003,"산보위·위험성평가 안건"),0)</f>
        <v>0</v>
      </c>
      <c r="N12" s="76">
        <f>IFERROR(SUMIFS(사용내역!$H$3:$H$2003,사용내역!$C$3:$C$2003,"본사",사용내역!$E$3:$E$2003,12,사용내역!$F$3:$F$2003,"산보위·위험성평가 안건"),0)</f>
        <v>0</v>
      </c>
      <c r="O12" s="77">
        <f t="shared" si="0"/>
        <v>0</v>
      </c>
      <c r="P12" s="78">
        <f>IFERROR(COUNTIFS(사용내역!$C$3:$C$2003,"본사",사용내역!$F$3:$F$2003,"산보위·위험성평가 안건",사용내역!$J$3:$J$2003,"Y"),0)</f>
        <v>0</v>
      </c>
    </row>
    <row r="13" spans="1:16" ht="19.5" customHeight="1">
      <c r="A13" s="124" t="s">
        <v>14</v>
      </c>
      <c r="B13" s="124"/>
      <c r="C13" s="85">
        <f t="shared" ref="C13:P13" si="1">SUM(C4:C12)</f>
        <v>0</v>
      </c>
      <c r="D13" s="85">
        <f t="shared" si="1"/>
        <v>0</v>
      </c>
      <c r="E13" s="85">
        <f t="shared" si="1"/>
        <v>0</v>
      </c>
      <c r="F13" s="85">
        <f t="shared" si="1"/>
        <v>0</v>
      </c>
      <c r="G13" s="85">
        <f t="shared" si="1"/>
        <v>0</v>
      </c>
      <c r="H13" s="85">
        <f t="shared" si="1"/>
        <v>0</v>
      </c>
      <c r="I13" s="85">
        <f t="shared" si="1"/>
        <v>0</v>
      </c>
      <c r="J13" s="85">
        <f t="shared" si="1"/>
        <v>0</v>
      </c>
      <c r="K13" s="85">
        <f t="shared" si="1"/>
        <v>0</v>
      </c>
      <c r="L13" s="85">
        <f t="shared" si="1"/>
        <v>0</v>
      </c>
      <c r="M13" s="85">
        <f t="shared" si="1"/>
        <v>0</v>
      </c>
      <c r="N13" s="85">
        <f t="shared" si="1"/>
        <v>0</v>
      </c>
      <c r="O13" s="85">
        <f t="shared" si="1"/>
        <v>0</v>
      </c>
      <c r="P13" s="86">
        <f t="shared" si="1"/>
        <v>0</v>
      </c>
    </row>
    <row r="14" spans="1:16" ht="16.5" customHeight="1">
      <c r="A14" s="123" t="s">
        <v>15</v>
      </c>
      <c r="B14" s="8" t="s">
        <v>5</v>
      </c>
      <c r="C14" s="76">
        <f>IFERROR(SUMIFS(사용내역!$H$3:$H$2003,사용내역!$C$3:$C$2003,"충청",사용내역!$E$3:$E$2003,1,사용내역!$F$3:$F$2003,"안전관리자 등 인건비"),0)</f>
        <v>0</v>
      </c>
      <c r="D14" s="76">
        <f>IFERROR(SUMIFS(사용내역!$H$3:$H$2003,사용내역!$C$3:$C$2003,"충청",사용내역!$E$3:$E$2003,2,사용내역!$F$3:$F$2003,"안전관리자 등 인건비"),0)</f>
        <v>0</v>
      </c>
      <c r="E14" s="76">
        <f>IFERROR(SUMIFS(사용내역!$H$3:$H$2003,사용내역!$C$3:$C$2003,"충청",사용내역!$E$3:$E$2003,3,사용내역!$F$3:$F$2003,"안전관리자 등 인건비"),0)</f>
        <v>0</v>
      </c>
      <c r="F14" s="76">
        <f>IFERROR(SUMIFS(사용내역!$H$3:$H$2003,사용내역!$C$3:$C$2003,"충청",사용내역!$E$3:$E$2003,4,사용내역!$F$3:$F$2003,"안전관리자 등 인건비"),0)</f>
        <v>0</v>
      </c>
      <c r="G14" s="76">
        <f>IFERROR(SUMIFS(사용내역!$H$3:$H$2003,사용내역!$C$3:$C$2003,"충청",사용내역!$E$3:$E$2003,5,사용내역!$F$3:$F$2003,"안전관리자 등 인건비"),0)</f>
        <v>0</v>
      </c>
      <c r="H14" s="76">
        <f>IFERROR(SUMIFS(사용내역!$H$3:$H$2003,사용내역!$C$3:$C$2003,"충청",사용내역!$E$3:$E$2003,6,사용내역!$F$3:$F$2003,"안전관리자 등 인건비"),0)</f>
        <v>0</v>
      </c>
      <c r="I14" s="76">
        <f>IFERROR(SUMIFS(사용내역!$H$3:$H$2003,사용내역!$C$3:$C$2003,"충청",사용내역!$E$3:$E$2003,7,사용내역!$F$3:$F$2003,"안전관리자 등 인건비"),0)</f>
        <v>0</v>
      </c>
      <c r="J14" s="76">
        <f>IFERROR(SUMIFS(사용내역!$H$3:$H$2003,사용내역!$C$3:$C$2003,"충청",사용내역!$E$3:$E$2003,8,사용내역!$F$3:$F$2003,"안전관리자 등 인건비"),0)</f>
        <v>0</v>
      </c>
      <c r="K14" s="76">
        <f>IFERROR(SUMIFS(사용내역!$H$3:$H$2003,사용내역!$C$3:$C$2003,"충청",사용내역!$E$3:$E$2003,9,사용내역!$F$3:$F$2003,"안전관리자 등 인건비"),0)</f>
        <v>0</v>
      </c>
      <c r="L14" s="76">
        <f>IFERROR(SUMIFS(사용내역!$H$3:$H$2003,사용내역!$C$3:$C$2003,"충청",사용내역!$E$3:$E$2003,10,사용내역!$F$3:$F$2003,"안전관리자 등 인건비"),0)</f>
        <v>0</v>
      </c>
      <c r="M14" s="76">
        <f>IFERROR(SUMIFS(사용내역!$H$3:$H$2003,사용내역!$C$3:$C$2003,"충청",사용내역!$E$3:$E$2003,11,사용내역!$F$3:$F$2003,"안전관리자 등 인건비"),0)</f>
        <v>0</v>
      </c>
      <c r="N14" s="76">
        <f>IFERROR(SUMIFS(사용내역!$H$3:$H$2003,사용내역!$C$3:$C$2003,"충청",사용내역!$E$3:$E$2003,12,사용내역!$F$3:$F$2003,"안전관리자 등 인건비"),0)</f>
        <v>0</v>
      </c>
      <c r="O14" s="77">
        <f t="shared" ref="O14:O22" si="2">SUM(C14:N14)</f>
        <v>0</v>
      </c>
      <c r="P14" s="78">
        <f>IFERROR(COUNTIFS(사용내역!$C$3:$C$2003,"충청",사용내역!$F$3:$F$2003,"안전관리자 등 인건비",사용내역!$J$3:$J$2003,"Y"),0)</f>
        <v>0</v>
      </c>
    </row>
    <row r="15" spans="1:16" ht="16.5" customHeight="1">
      <c r="A15" s="123"/>
      <c r="B15" s="12" t="s">
        <v>6</v>
      </c>
      <c r="C15" s="79">
        <f>IFERROR(SUMIFS(사용내역!$H$3:$H$2003,사용내역!$C$3:$C$2003,"충청",사용내역!$E$3:$E$2003,1,사용내역!$F$3:$F$2003,"안전시설비"),0)</f>
        <v>0</v>
      </c>
      <c r="D15" s="79">
        <f>IFERROR(SUMIFS(사용내역!$H$3:$H$2003,사용내역!$C$3:$C$2003,"충청",사용내역!$E$3:$E$2003,2,사용내역!$F$3:$F$2003,"안전시설비"),0)</f>
        <v>0</v>
      </c>
      <c r="E15" s="79">
        <f>IFERROR(SUMIFS(사용내역!$H$3:$H$2003,사용내역!$C$3:$C$2003,"충청",사용내역!$E$3:$E$2003,3,사용내역!$F$3:$F$2003,"안전시설비"),0)</f>
        <v>0</v>
      </c>
      <c r="F15" s="79">
        <f>IFERROR(SUMIFS(사용내역!$H$3:$H$2003,사용내역!$C$3:$C$2003,"충청",사용내역!$E$3:$E$2003,4,사용내역!$F$3:$F$2003,"안전시설비"),0)</f>
        <v>0</v>
      </c>
      <c r="G15" s="79">
        <f>IFERROR(SUMIFS(사용내역!$H$3:$H$2003,사용내역!$C$3:$C$2003,"충청",사용내역!$E$3:$E$2003,5,사용내역!$F$3:$F$2003,"안전시설비"),0)</f>
        <v>0</v>
      </c>
      <c r="H15" s="79">
        <f>IFERROR(SUMIFS(사용내역!$H$3:$H$2003,사용내역!$C$3:$C$2003,"충청",사용내역!$E$3:$E$2003,6,사용내역!$F$3:$F$2003,"안전시설비"),0)</f>
        <v>0</v>
      </c>
      <c r="I15" s="79">
        <f>IFERROR(SUMIFS(사용내역!$H$3:$H$2003,사용내역!$C$3:$C$2003,"충청",사용내역!$E$3:$E$2003,7,사용내역!$F$3:$F$2003,"안전시설비"),0)</f>
        <v>0</v>
      </c>
      <c r="J15" s="79">
        <f>IFERROR(SUMIFS(사용내역!$H$3:$H$2003,사용내역!$C$3:$C$2003,"충청",사용내역!$E$3:$E$2003,8,사용내역!$F$3:$F$2003,"안전시설비"),0)</f>
        <v>0</v>
      </c>
      <c r="K15" s="79">
        <f>IFERROR(SUMIFS(사용내역!$H$3:$H$2003,사용내역!$C$3:$C$2003,"충청",사용내역!$E$3:$E$2003,9,사용내역!$F$3:$F$2003,"안전시설비"),0)</f>
        <v>0</v>
      </c>
      <c r="L15" s="79">
        <f>IFERROR(SUMIFS(사용내역!$H$3:$H$2003,사용내역!$C$3:$C$2003,"충청",사용내역!$E$3:$E$2003,10,사용내역!$F$3:$F$2003,"안전시설비"),0)</f>
        <v>0</v>
      </c>
      <c r="M15" s="79">
        <f>IFERROR(SUMIFS(사용내역!$H$3:$H$2003,사용내역!$C$3:$C$2003,"충청",사용내역!$E$3:$E$2003,11,사용내역!$F$3:$F$2003,"안전시설비"),0)</f>
        <v>0</v>
      </c>
      <c r="N15" s="79">
        <f>IFERROR(SUMIFS(사용내역!$H$3:$H$2003,사용내역!$C$3:$C$2003,"충청",사용내역!$E$3:$E$2003,12,사용내역!$F$3:$F$2003,"안전시설비"),0)</f>
        <v>0</v>
      </c>
      <c r="O15" s="77">
        <f t="shared" si="2"/>
        <v>0</v>
      </c>
      <c r="P15" s="80">
        <f>IFERROR(COUNTIFS(사용내역!$C$3:$C$2003,"충청",사용내역!$F$3:$F$2003,"안전시설비",사용내역!$J$3:$J$2003,"Y"),0)</f>
        <v>0</v>
      </c>
    </row>
    <row r="16" spans="1:16" ht="16.5" customHeight="1">
      <c r="A16" s="123"/>
      <c r="B16" s="8" t="s">
        <v>7</v>
      </c>
      <c r="C16" s="76">
        <f>IFERROR(SUMIFS(사용내역!$H$3:$H$2003,사용내역!$C$3:$C$2003,"충청",사용내역!$E$3:$E$2003,1,사용내역!$F$3:$F$2003,"보호구·안전용품"),0)</f>
        <v>0</v>
      </c>
      <c r="D16" s="76">
        <f>IFERROR(SUMIFS(사용내역!$H$3:$H$2003,사용내역!$C$3:$C$2003,"충청",사용내역!$E$3:$E$2003,2,사용내역!$F$3:$F$2003,"보호구·안전용품"),0)</f>
        <v>0</v>
      </c>
      <c r="E16" s="76">
        <f>IFERROR(SUMIFS(사용내역!$H$3:$H$2003,사용내역!$C$3:$C$2003,"충청",사용내역!$E$3:$E$2003,3,사용내역!$F$3:$F$2003,"보호구·안전용품"),0)</f>
        <v>0</v>
      </c>
      <c r="F16" s="76">
        <f>IFERROR(SUMIFS(사용내역!$H$3:$H$2003,사용내역!$C$3:$C$2003,"충청",사용내역!$E$3:$E$2003,4,사용내역!$F$3:$F$2003,"보호구·안전용품"),0)</f>
        <v>0</v>
      </c>
      <c r="G16" s="76">
        <f>IFERROR(SUMIFS(사용내역!$H$3:$H$2003,사용내역!$C$3:$C$2003,"충청",사용내역!$E$3:$E$2003,5,사용내역!$F$3:$F$2003,"보호구·안전용품"),0)</f>
        <v>0</v>
      </c>
      <c r="H16" s="76">
        <f>IFERROR(SUMIFS(사용내역!$H$3:$H$2003,사용내역!$C$3:$C$2003,"충청",사용내역!$E$3:$E$2003,6,사용내역!$F$3:$F$2003,"보호구·안전용품"),0)</f>
        <v>0</v>
      </c>
      <c r="I16" s="76">
        <f>IFERROR(SUMIFS(사용내역!$H$3:$H$2003,사용내역!$C$3:$C$2003,"충청",사용내역!$E$3:$E$2003,7,사용내역!$F$3:$F$2003,"보호구·안전용품"),0)</f>
        <v>0</v>
      </c>
      <c r="J16" s="76">
        <f>IFERROR(SUMIFS(사용내역!$H$3:$H$2003,사용내역!$C$3:$C$2003,"충청",사용내역!$E$3:$E$2003,8,사용내역!$F$3:$F$2003,"보호구·안전용품"),0)</f>
        <v>0</v>
      </c>
      <c r="K16" s="76">
        <f>IFERROR(SUMIFS(사용내역!$H$3:$H$2003,사용내역!$C$3:$C$2003,"충청",사용내역!$E$3:$E$2003,9,사용내역!$F$3:$F$2003,"보호구·안전용품"),0)</f>
        <v>0</v>
      </c>
      <c r="L16" s="76">
        <f>IFERROR(SUMIFS(사용내역!$H$3:$H$2003,사용내역!$C$3:$C$2003,"충청",사용내역!$E$3:$E$2003,10,사용내역!$F$3:$F$2003,"보호구·안전용품"),0)</f>
        <v>0</v>
      </c>
      <c r="M16" s="76">
        <f>IFERROR(SUMIFS(사용내역!$H$3:$H$2003,사용내역!$C$3:$C$2003,"충청",사용내역!$E$3:$E$2003,11,사용내역!$F$3:$F$2003,"보호구·안전용품"),0)</f>
        <v>0</v>
      </c>
      <c r="N16" s="76">
        <f>IFERROR(SUMIFS(사용내역!$H$3:$H$2003,사용내역!$C$3:$C$2003,"충청",사용내역!$E$3:$E$2003,12,사용내역!$F$3:$F$2003,"보호구·안전용품"),0)</f>
        <v>0</v>
      </c>
      <c r="O16" s="77">
        <f t="shared" si="2"/>
        <v>0</v>
      </c>
      <c r="P16" s="78">
        <f>IFERROR(COUNTIFS(사용내역!$C$3:$C$2003,"충청",사용내역!$F$3:$F$2003,"보호구·안전용품",사용내역!$J$3:$J$2003,"Y"),0)</f>
        <v>0</v>
      </c>
    </row>
    <row r="17" spans="1:16" ht="16.5" customHeight="1">
      <c r="A17" s="123"/>
      <c r="B17" s="12" t="s">
        <v>8</v>
      </c>
      <c r="C17" s="79">
        <f>IFERROR(SUMIFS(사용내역!$H$3:$H$2003,사용내역!$C$3:$C$2003,"충청",사용내역!$E$3:$E$2003,1,사용내역!$F$3:$F$2003,"안전진단비"),0)</f>
        <v>0</v>
      </c>
      <c r="D17" s="79">
        <f>IFERROR(SUMIFS(사용내역!$H$3:$H$2003,사용내역!$C$3:$C$2003,"충청",사용내역!$E$3:$E$2003,2,사용내역!$F$3:$F$2003,"안전진단비"),0)</f>
        <v>0</v>
      </c>
      <c r="E17" s="79">
        <f>IFERROR(SUMIFS(사용내역!$H$3:$H$2003,사용내역!$C$3:$C$2003,"충청",사용내역!$E$3:$E$2003,3,사용내역!$F$3:$F$2003,"안전진단비"),0)</f>
        <v>0</v>
      </c>
      <c r="F17" s="79">
        <f>IFERROR(SUMIFS(사용내역!$H$3:$H$2003,사용내역!$C$3:$C$2003,"충청",사용내역!$E$3:$E$2003,4,사용내역!$F$3:$F$2003,"안전진단비"),0)</f>
        <v>0</v>
      </c>
      <c r="G17" s="79">
        <f>IFERROR(SUMIFS(사용내역!$H$3:$H$2003,사용내역!$C$3:$C$2003,"충청",사용내역!$E$3:$E$2003,5,사용내역!$F$3:$F$2003,"안전진단비"),0)</f>
        <v>0</v>
      </c>
      <c r="H17" s="79">
        <f>IFERROR(SUMIFS(사용내역!$H$3:$H$2003,사용내역!$C$3:$C$2003,"충청",사용내역!$E$3:$E$2003,6,사용내역!$F$3:$F$2003,"안전진단비"),0)</f>
        <v>0</v>
      </c>
      <c r="I17" s="79">
        <f>IFERROR(SUMIFS(사용내역!$H$3:$H$2003,사용내역!$C$3:$C$2003,"충청",사용내역!$E$3:$E$2003,7,사용내역!$F$3:$F$2003,"안전진단비"),0)</f>
        <v>0</v>
      </c>
      <c r="J17" s="79">
        <f>IFERROR(SUMIFS(사용내역!$H$3:$H$2003,사용내역!$C$3:$C$2003,"충청",사용내역!$E$3:$E$2003,8,사용내역!$F$3:$F$2003,"안전진단비"),0)</f>
        <v>0</v>
      </c>
      <c r="K17" s="79">
        <f>IFERROR(SUMIFS(사용내역!$H$3:$H$2003,사용내역!$C$3:$C$2003,"충청",사용내역!$E$3:$E$2003,9,사용내역!$F$3:$F$2003,"안전진단비"),0)</f>
        <v>0</v>
      </c>
      <c r="L17" s="79">
        <f>IFERROR(SUMIFS(사용내역!$H$3:$H$2003,사용내역!$C$3:$C$2003,"충청",사용내역!$E$3:$E$2003,10,사용내역!$F$3:$F$2003,"안전진단비"),0)</f>
        <v>0</v>
      </c>
      <c r="M17" s="79">
        <f>IFERROR(SUMIFS(사용내역!$H$3:$H$2003,사용내역!$C$3:$C$2003,"충청",사용내역!$E$3:$E$2003,11,사용내역!$F$3:$F$2003,"안전진단비"),0)</f>
        <v>0</v>
      </c>
      <c r="N17" s="79">
        <f>IFERROR(SUMIFS(사용내역!$H$3:$H$2003,사용내역!$C$3:$C$2003,"충청",사용내역!$E$3:$E$2003,12,사용내역!$F$3:$F$2003,"안전진단비"),0)</f>
        <v>0</v>
      </c>
      <c r="O17" s="77">
        <f t="shared" si="2"/>
        <v>0</v>
      </c>
      <c r="P17" s="80">
        <f>IFERROR(COUNTIFS(사용내역!$C$3:$C$2003,"충청",사용내역!$F$3:$F$2003,"안전진단비",사용내역!$J$3:$J$2003,"Y"),0)</f>
        <v>0</v>
      </c>
    </row>
    <row r="18" spans="1:16" ht="16.5" customHeight="1">
      <c r="A18" s="123"/>
      <c r="B18" s="8" t="s">
        <v>9</v>
      </c>
      <c r="C18" s="76">
        <f>IFERROR(SUMIFS(사용내역!$H$3:$H$2003,사용내역!$C$3:$C$2003,"충청",사용내역!$E$3:$E$2003,1,사용내역!$F$3:$F$2003,"안전보건교육비·행사비 등"),0)</f>
        <v>0</v>
      </c>
      <c r="D18" s="76">
        <f>IFERROR(SUMIFS(사용내역!$H$3:$H$2003,사용내역!$C$3:$C$2003,"충청",사용내역!$E$3:$E$2003,2,사용내역!$F$3:$F$2003,"안전보건교육비·행사비 등"),0)</f>
        <v>0</v>
      </c>
      <c r="E18" s="76">
        <f>IFERROR(SUMIFS(사용내역!$H$3:$H$2003,사용내역!$C$3:$C$2003,"충청",사용내역!$E$3:$E$2003,3,사용내역!$F$3:$F$2003,"안전보건교육비·행사비 등"),0)</f>
        <v>0</v>
      </c>
      <c r="F18" s="76">
        <f>IFERROR(SUMIFS(사용내역!$H$3:$H$2003,사용내역!$C$3:$C$2003,"충청",사용내역!$E$3:$E$2003,4,사용내역!$F$3:$F$2003,"안전보건교육비·행사비 등"),0)</f>
        <v>0</v>
      </c>
      <c r="G18" s="76">
        <f>IFERROR(SUMIFS(사용내역!$H$3:$H$2003,사용내역!$C$3:$C$2003,"충청",사용내역!$E$3:$E$2003,5,사용내역!$F$3:$F$2003,"안전보건교육비·행사비 등"),0)</f>
        <v>0</v>
      </c>
      <c r="H18" s="76">
        <f>IFERROR(SUMIFS(사용내역!$H$3:$H$2003,사용내역!$C$3:$C$2003,"충청",사용내역!$E$3:$E$2003,6,사용내역!$F$3:$F$2003,"안전보건교육비·행사비 등"),0)</f>
        <v>0</v>
      </c>
      <c r="I18" s="76">
        <f>IFERROR(SUMIFS(사용내역!$H$3:$H$2003,사용내역!$C$3:$C$2003,"충청",사용내역!$E$3:$E$2003,7,사용내역!$F$3:$F$2003,"안전보건교육비·행사비 등"),0)</f>
        <v>0</v>
      </c>
      <c r="J18" s="76">
        <f>IFERROR(SUMIFS(사용내역!$H$3:$H$2003,사용내역!$C$3:$C$2003,"충청",사용내역!$E$3:$E$2003,8,사용내역!$F$3:$F$2003,"안전보건교육비·행사비 등"),0)</f>
        <v>0</v>
      </c>
      <c r="K18" s="76">
        <f>IFERROR(SUMIFS(사용내역!$H$3:$H$2003,사용내역!$C$3:$C$2003,"충청",사용내역!$E$3:$E$2003,9,사용내역!$F$3:$F$2003,"안전보건교육비·행사비 등"),0)</f>
        <v>0</v>
      </c>
      <c r="L18" s="76">
        <f>IFERROR(SUMIFS(사용내역!$H$3:$H$2003,사용내역!$C$3:$C$2003,"충청",사용내역!$E$3:$E$2003,10,사용내역!$F$3:$F$2003,"안전보건교육비·행사비 등"),0)</f>
        <v>0</v>
      </c>
      <c r="M18" s="76">
        <f>IFERROR(SUMIFS(사용내역!$H$3:$H$2003,사용내역!$C$3:$C$2003,"충청",사용내역!$E$3:$E$2003,11,사용내역!$F$3:$F$2003,"안전보건교육비·행사비 등"),0)</f>
        <v>0</v>
      </c>
      <c r="N18" s="76">
        <f>IFERROR(SUMIFS(사용내역!$H$3:$H$2003,사용내역!$C$3:$C$2003,"충청",사용내역!$E$3:$E$2003,12,사용내역!$F$3:$F$2003,"안전보건교육비·행사비 등"),0)</f>
        <v>0</v>
      </c>
      <c r="O18" s="77">
        <f t="shared" si="2"/>
        <v>0</v>
      </c>
      <c r="P18" s="78">
        <f>IFERROR(COUNTIFS(사용내역!$C$3:$C$2003,"충청",사용내역!$F$3:$F$2003,"안전보건교육비·행사비 등",사용내역!$J$3:$J$2003,"Y"),0)</f>
        <v>0</v>
      </c>
    </row>
    <row r="19" spans="1:16" ht="16.5" customHeight="1">
      <c r="A19" s="123"/>
      <c r="B19" s="12" t="s">
        <v>10</v>
      </c>
      <c r="C19" s="79">
        <f>IFERROR(SUMIFS(사용내역!$H$3:$H$2003,사용내역!$C$3:$C$2003,"충청",사용내역!$E$3:$E$2003,1,사용내역!$F$3:$F$2003,"근로자 건강관리비 등"),0)</f>
        <v>0</v>
      </c>
      <c r="D19" s="79">
        <f>IFERROR(SUMIFS(사용내역!$H$3:$H$2003,사용내역!$C$3:$C$2003,"충청",사용내역!$E$3:$E$2003,2,사용내역!$F$3:$F$2003,"근로자 건강관리비 등"),0)</f>
        <v>0</v>
      </c>
      <c r="E19" s="79">
        <f>IFERROR(SUMIFS(사용내역!$H$3:$H$2003,사용내역!$C$3:$C$2003,"충청",사용내역!$E$3:$E$2003,3,사용내역!$F$3:$F$2003,"근로자 건강관리비 등"),0)</f>
        <v>0</v>
      </c>
      <c r="F19" s="79">
        <f>IFERROR(SUMIFS(사용내역!$H$3:$H$2003,사용내역!$C$3:$C$2003,"충청",사용내역!$E$3:$E$2003,4,사용내역!$F$3:$F$2003,"근로자 건강관리비 등"),0)</f>
        <v>0</v>
      </c>
      <c r="G19" s="79">
        <f>IFERROR(SUMIFS(사용내역!$H$3:$H$2003,사용내역!$C$3:$C$2003,"충청",사용내역!$E$3:$E$2003,5,사용내역!$F$3:$F$2003,"근로자 건강관리비 등"),0)</f>
        <v>0</v>
      </c>
      <c r="H19" s="79">
        <f>IFERROR(SUMIFS(사용내역!$H$3:$H$2003,사용내역!$C$3:$C$2003,"충청",사용내역!$E$3:$E$2003,6,사용내역!$F$3:$F$2003,"근로자 건강관리비 등"),0)</f>
        <v>0</v>
      </c>
      <c r="I19" s="79">
        <f>IFERROR(SUMIFS(사용내역!$H$3:$H$2003,사용내역!$C$3:$C$2003,"충청",사용내역!$E$3:$E$2003,7,사용내역!$F$3:$F$2003,"근로자 건강관리비 등"),0)</f>
        <v>0</v>
      </c>
      <c r="J19" s="79">
        <f>IFERROR(SUMIFS(사용내역!$H$3:$H$2003,사용내역!$C$3:$C$2003,"충청",사용내역!$E$3:$E$2003,8,사용내역!$F$3:$F$2003,"근로자 건강관리비 등"),0)</f>
        <v>0</v>
      </c>
      <c r="K19" s="79">
        <f>IFERROR(SUMIFS(사용내역!$H$3:$H$2003,사용내역!$C$3:$C$2003,"충청",사용내역!$E$3:$E$2003,9,사용내역!$F$3:$F$2003,"근로자 건강관리비 등"),0)</f>
        <v>0</v>
      </c>
      <c r="L19" s="79">
        <f>IFERROR(SUMIFS(사용내역!$H$3:$H$2003,사용내역!$C$3:$C$2003,"충청",사용내역!$E$3:$E$2003,10,사용내역!$F$3:$F$2003,"근로자 건강관리비 등"),0)</f>
        <v>0</v>
      </c>
      <c r="M19" s="79">
        <f>IFERROR(SUMIFS(사용내역!$H$3:$H$2003,사용내역!$C$3:$C$2003,"충청",사용내역!$E$3:$E$2003,11,사용내역!$F$3:$F$2003,"근로자 건강관리비 등"),0)</f>
        <v>0</v>
      </c>
      <c r="N19" s="79">
        <f>IFERROR(SUMIFS(사용내역!$H$3:$H$2003,사용내역!$C$3:$C$2003,"충청",사용내역!$E$3:$E$2003,12,사용내역!$F$3:$F$2003,"근로자 건강관리비 등"),0)</f>
        <v>0</v>
      </c>
      <c r="O19" s="77">
        <f t="shared" si="2"/>
        <v>0</v>
      </c>
      <c r="P19" s="80">
        <f>IFERROR(COUNTIFS(사용내역!$C$3:$C$2003,"충청",사용내역!$F$3:$F$2003,"근로자 건강관리비 등",사용내역!$J$3:$J$2003,"Y"),0)</f>
        <v>0</v>
      </c>
    </row>
    <row r="20" spans="1:16" ht="16.5" customHeight="1">
      <c r="A20" s="123"/>
      <c r="B20" s="8" t="s">
        <v>11</v>
      </c>
      <c r="C20" s="76">
        <f>IFERROR(SUMIFS(사용내역!$H$3:$H$2003,사용내역!$C$3:$C$2003,"충청",사용내역!$E$3:$E$2003,1,사용내역!$F$3:$F$2003,"건설재해예방 기술지도비"),0)</f>
        <v>0</v>
      </c>
      <c r="D20" s="76">
        <f>IFERROR(SUMIFS(사용내역!$H$3:$H$2003,사용내역!$C$3:$C$2003,"충청",사용내역!$E$3:$E$2003,2,사용내역!$F$3:$F$2003,"건설재해예방 기술지도비"),0)</f>
        <v>0</v>
      </c>
      <c r="E20" s="76">
        <f>IFERROR(SUMIFS(사용내역!$H$3:$H$2003,사용내역!$C$3:$C$2003,"충청",사용내역!$E$3:$E$2003,3,사용내역!$F$3:$F$2003,"건설재해예방 기술지도비"),0)</f>
        <v>0</v>
      </c>
      <c r="F20" s="76">
        <f>IFERROR(SUMIFS(사용내역!$H$3:$H$2003,사용내역!$C$3:$C$2003,"충청",사용내역!$E$3:$E$2003,4,사용내역!$F$3:$F$2003,"건설재해예방 기술지도비"),0)</f>
        <v>0</v>
      </c>
      <c r="G20" s="76">
        <f>IFERROR(SUMIFS(사용내역!$H$3:$H$2003,사용내역!$C$3:$C$2003,"충청",사용내역!$E$3:$E$2003,5,사용내역!$F$3:$F$2003,"건설재해예방 기술지도비"),0)</f>
        <v>0</v>
      </c>
      <c r="H20" s="76">
        <f>IFERROR(SUMIFS(사용내역!$H$3:$H$2003,사용내역!$C$3:$C$2003,"충청",사용내역!$E$3:$E$2003,6,사용내역!$F$3:$F$2003,"건설재해예방 기술지도비"),0)</f>
        <v>0</v>
      </c>
      <c r="I20" s="76">
        <f>IFERROR(SUMIFS(사용내역!$H$3:$H$2003,사용내역!$C$3:$C$2003,"충청",사용내역!$E$3:$E$2003,7,사용내역!$F$3:$F$2003,"건설재해예방 기술지도비"),0)</f>
        <v>0</v>
      </c>
      <c r="J20" s="76">
        <f>IFERROR(SUMIFS(사용내역!$H$3:$H$2003,사용내역!$C$3:$C$2003,"충청",사용내역!$E$3:$E$2003,8,사용내역!$F$3:$F$2003,"건설재해예방 기술지도비"),0)</f>
        <v>0</v>
      </c>
      <c r="K20" s="76">
        <f>IFERROR(SUMIFS(사용내역!$H$3:$H$2003,사용내역!$C$3:$C$2003,"충청",사용내역!$E$3:$E$2003,9,사용내역!$F$3:$F$2003,"건설재해예방 기술지도비"),0)</f>
        <v>0</v>
      </c>
      <c r="L20" s="76">
        <f>IFERROR(SUMIFS(사용내역!$H$3:$H$2003,사용내역!$C$3:$C$2003,"충청",사용내역!$E$3:$E$2003,10,사용내역!$F$3:$F$2003,"건설재해예방 기술지도비"),0)</f>
        <v>0</v>
      </c>
      <c r="M20" s="76">
        <f>IFERROR(SUMIFS(사용내역!$H$3:$H$2003,사용내역!$C$3:$C$2003,"충청",사용내역!$E$3:$E$2003,11,사용내역!$F$3:$F$2003,"건설재해예방 기술지도비"),0)</f>
        <v>0</v>
      </c>
      <c r="N20" s="76">
        <f>IFERROR(SUMIFS(사용내역!$H$3:$H$2003,사용내역!$C$3:$C$2003,"충청",사용내역!$E$3:$E$2003,12,사용내역!$F$3:$F$2003,"건설재해예방 기술지도비"),0)</f>
        <v>0</v>
      </c>
      <c r="O20" s="77">
        <f t="shared" si="2"/>
        <v>0</v>
      </c>
      <c r="P20" s="78">
        <f>IFERROR(COUNTIFS(사용내역!$C$3:$C$2003,"충청",사용내역!$F$3:$F$2003,"건설재해예방 기술지도비",사용내역!$J$3:$J$2003,"Y"),0)</f>
        <v>0</v>
      </c>
    </row>
    <row r="21" spans="1:16" ht="16.5" customHeight="1">
      <c r="A21" s="123"/>
      <c r="B21" s="12" t="s">
        <v>12</v>
      </c>
      <c r="C21" s="79">
        <f>IFERROR(SUMIFS(사용내역!$H$3:$H$2003,사용내역!$C$3:$C$2003,"충청",사용내역!$E$3:$E$2003,1,사용내역!$F$3:$F$2003,"기타"),0)</f>
        <v>0</v>
      </c>
      <c r="D21" s="79">
        <f>IFERROR(SUMIFS(사용내역!$H$3:$H$2003,사용내역!$C$3:$C$2003,"충청",사용내역!$E$3:$E$2003,2,사용내역!$F$3:$F$2003,"기타"),0)</f>
        <v>0</v>
      </c>
      <c r="E21" s="79">
        <f>IFERROR(SUMIFS(사용내역!$H$3:$H$2003,사용내역!$C$3:$C$2003,"충청",사용내역!$E$3:$E$2003,3,사용내역!$F$3:$F$2003,"기타"),0)</f>
        <v>0</v>
      </c>
      <c r="F21" s="79">
        <f>IFERROR(SUMIFS(사용내역!$H$3:$H$2003,사용내역!$C$3:$C$2003,"충청",사용내역!$E$3:$E$2003,4,사용내역!$F$3:$F$2003,"기타"),0)</f>
        <v>0</v>
      </c>
      <c r="G21" s="79">
        <f>IFERROR(SUMIFS(사용내역!$H$3:$H$2003,사용내역!$C$3:$C$2003,"충청",사용내역!$E$3:$E$2003,5,사용내역!$F$3:$F$2003,"기타"),0)</f>
        <v>0</v>
      </c>
      <c r="H21" s="79">
        <f>IFERROR(SUMIFS(사용내역!$H$3:$H$2003,사용내역!$C$3:$C$2003,"충청",사용내역!$E$3:$E$2003,6,사용내역!$F$3:$F$2003,"기타"),0)</f>
        <v>0</v>
      </c>
      <c r="I21" s="79">
        <f>IFERROR(SUMIFS(사용내역!$H$3:$H$2003,사용내역!$C$3:$C$2003,"충청",사용내역!$E$3:$E$2003,7,사용내역!$F$3:$F$2003,"기타"),0)</f>
        <v>0</v>
      </c>
      <c r="J21" s="79">
        <f>IFERROR(SUMIFS(사용내역!$H$3:$H$2003,사용내역!$C$3:$C$2003,"충청",사용내역!$E$3:$E$2003,8,사용내역!$F$3:$F$2003,"기타"),0)</f>
        <v>0</v>
      </c>
      <c r="K21" s="79">
        <f>IFERROR(SUMIFS(사용내역!$H$3:$H$2003,사용내역!$C$3:$C$2003,"충청",사용내역!$E$3:$E$2003,9,사용내역!$F$3:$F$2003,"기타"),0)</f>
        <v>0</v>
      </c>
      <c r="L21" s="79">
        <f>IFERROR(SUMIFS(사용내역!$H$3:$H$2003,사용내역!$C$3:$C$2003,"충청",사용내역!$E$3:$E$2003,10,사용내역!$F$3:$F$2003,"기타"),0)</f>
        <v>0</v>
      </c>
      <c r="M21" s="79">
        <f>IFERROR(SUMIFS(사용내역!$H$3:$H$2003,사용내역!$C$3:$C$2003,"충청",사용내역!$E$3:$E$2003,11,사용내역!$F$3:$F$2003,"기타"),0)</f>
        <v>0</v>
      </c>
      <c r="N21" s="79">
        <f>IFERROR(SUMIFS(사용내역!$H$3:$H$2003,사용내역!$C$3:$C$2003,"충청",사용내역!$E$3:$E$2003,12,사용내역!$F$3:$F$2003,"기타"),0)</f>
        <v>0</v>
      </c>
      <c r="O21" s="77">
        <f t="shared" si="2"/>
        <v>0</v>
      </c>
      <c r="P21" s="80">
        <f>IFERROR(COUNTIFS(사용내역!$C$3:$C$2003,"충청",사용내역!$F$3:$F$2003,"기타",사용내역!$J$3:$J$2003,"Y"),0)</f>
        <v>0</v>
      </c>
    </row>
    <row r="22" spans="1:16" ht="16.5" customHeight="1">
      <c r="A22" s="123"/>
      <c r="B22" s="8" t="s">
        <v>13</v>
      </c>
      <c r="C22" s="76">
        <f>IFERROR(SUMIFS(사용내역!$H$3:$H$2003,사용내역!$C$3:$C$2003,"충청",사용내역!$E$3:$E$2003,1,사용내역!$F$3:$F$2003,"산보위·위험성평가 안건"),0)</f>
        <v>0</v>
      </c>
      <c r="D22" s="76">
        <f>IFERROR(SUMIFS(사용내역!$H$3:$H$2003,사용내역!$C$3:$C$2003,"충청",사용내역!$E$3:$E$2003,2,사용내역!$F$3:$F$2003,"산보위·위험성평가 안건"),0)</f>
        <v>0</v>
      </c>
      <c r="E22" s="76">
        <f>IFERROR(SUMIFS(사용내역!$H$3:$H$2003,사용내역!$C$3:$C$2003,"충청",사용내역!$E$3:$E$2003,3,사용내역!$F$3:$F$2003,"산보위·위험성평가 안건"),0)</f>
        <v>0</v>
      </c>
      <c r="F22" s="76">
        <f>IFERROR(SUMIFS(사용내역!$H$3:$H$2003,사용내역!$C$3:$C$2003,"충청",사용내역!$E$3:$E$2003,4,사용내역!$F$3:$F$2003,"산보위·위험성평가 안건"),0)</f>
        <v>0</v>
      </c>
      <c r="G22" s="76">
        <f>IFERROR(SUMIFS(사용내역!$H$3:$H$2003,사용내역!$C$3:$C$2003,"충청",사용내역!$E$3:$E$2003,5,사용내역!$F$3:$F$2003,"산보위·위험성평가 안건"),0)</f>
        <v>0</v>
      </c>
      <c r="H22" s="76">
        <f>IFERROR(SUMIFS(사용내역!$H$3:$H$2003,사용내역!$C$3:$C$2003,"충청",사용내역!$E$3:$E$2003,6,사용내역!$F$3:$F$2003,"산보위·위험성평가 안건"),0)</f>
        <v>0</v>
      </c>
      <c r="I22" s="76">
        <f>IFERROR(SUMIFS(사용내역!$H$3:$H$2003,사용내역!$C$3:$C$2003,"충청",사용내역!$E$3:$E$2003,7,사용내역!$F$3:$F$2003,"산보위·위험성평가 안건"),0)</f>
        <v>0</v>
      </c>
      <c r="J22" s="76">
        <f>IFERROR(SUMIFS(사용내역!$H$3:$H$2003,사용내역!$C$3:$C$2003,"충청",사용내역!$E$3:$E$2003,8,사용내역!$F$3:$F$2003,"산보위·위험성평가 안건"),0)</f>
        <v>0</v>
      </c>
      <c r="K22" s="76">
        <f>IFERROR(SUMIFS(사용내역!$H$3:$H$2003,사용내역!$C$3:$C$2003,"충청",사용내역!$E$3:$E$2003,9,사용내역!$F$3:$F$2003,"산보위·위험성평가 안건"),0)</f>
        <v>0</v>
      </c>
      <c r="L22" s="76">
        <f>IFERROR(SUMIFS(사용내역!$H$3:$H$2003,사용내역!$C$3:$C$2003,"충청",사용내역!$E$3:$E$2003,10,사용내역!$F$3:$F$2003,"산보위·위험성평가 안건"),0)</f>
        <v>0</v>
      </c>
      <c r="M22" s="76">
        <f>IFERROR(SUMIFS(사용내역!$H$3:$H$2003,사용내역!$C$3:$C$2003,"충청",사용내역!$E$3:$E$2003,11,사용내역!$F$3:$F$2003,"산보위·위험성평가 안건"),0)</f>
        <v>0</v>
      </c>
      <c r="N22" s="76">
        <f>IFERROR(SUMIFS(사용내역!$H$3:$H$2003,사용내역!$C$3:$C$2003,"충청",사용내역!$E$3:$E$2003,12,사용내역!$F$3:$F$2003,"산보위·위험성평가 안건"),0)</f>
        <v>0</v>
      </c>
      <c r="O22" s="77">
        <f t="shared" si="2"/>
        <v>0</v>
      </c>
      <c r="P22" s="78">
        <f>IFERROR(COUNTIFS(사용내역!$C$3:$C$2003,"충청",사용내역!$F$3:$F$2003,"산보위·위험성평가 안건",사용내역!$J$3:$J$2003,"Y"),0)</f>
        <v>0</v>
      </c>
    </row>
    <row r="23" spans="1:16" ht="19.5" customHeight="1">
      <c r="A23" s="124" t="s">
        <v>16</v>
      </c>
      <c r="B23" s="124"/>
      <c r="C23" s="85">
        <f t="shared" ref="C23:P23" si="3">SUM(C14:C22)</f>
        <v>0</v>
      </c>
      <c r="D23" s="85">
        <f t="shared" si="3"/>
        <v>0</v>
      </c>
      <c r="E23" s="85">
        <f t="shared" si="3"/>
        <v>0</v>
      </c>
      <c r="F23" s="85">
        <f t="shared" si="3"/>
        <v>0</v>
      </c>
      <c r="G23" s="85">
        <f t="shared" si="3"/>
        <v>0</v>
      </c>
      <c r="H23" s="85">
        <f t="shared" si="3"/>
        <v>0</v>
      </c>
      <c r="I23" s="85">
        <f t="shared" si="3"/>
        <v>0</v>
      </c>
      <c r="J23" s="85">
        <f t="shared" si="3"/>
        <v>0</v>
      </c>
      <c r="K23" s="85">
        <f t="shared" si="3"/>
        <v>0</v>
      </c>
      <c r="L23" s="85">
        <f t="shared" si="3"/>
        <v>0</v>
      </c>
      <c r="M23" s="85">
        <f t="shared" si="3"/>
        <v>0</v>
      </c>
      <c r="N23" s="85">
        <f t="shared" si="3"/>
        <v>0</v>
      </c>
      <c r="O23" s="85">
        <f t="shared" si="3"/>
        <v>0</v>
      </c>
      <c r="P23" s="86">
        <f t="shared" si="3"/>
        <v>0</v>
      </c>
    </row>
    <row r="24" spans="1:16" ht="16.5" customHeight="1">
      <c r="A24" s="123" t="s">
        <v>17</v>
      </c>
      <c r="B24" s="8" t="s">
        <v>5</v>
      </c>
      <c r="C24" s="76">
        <f>IFERROR(SUMIFS(사용내역!$H$3:$H$2003,사용내역!$C$3:$C$2003,"호남",사용내역!$E$3:$E$2003,1,사용내역!$F$3:$F$2003,"안전관리자 등 인건비"),0)</f>
        <v>0</v>
      </c>
      <c r="D24" s="76">
        <f>IFERROR(SUMIFS(사용내역!$H$3:$H$2003,사용내역!$C$3:$C$2003,"호남",사용내역!$E$3:$E$2003,2,사용내역!$F$3:$F$2003,"안전관리자 등 인건비"),0)</f>
        <v>0</v>
      </c>
      <c r="E24" s="76">
        <f>IFERROR(SUMIFS(사용내역!$H$3:$H$2003,사용내역!$C$3:$C$2003,"호남",사용내역!$E$3:$E$2003,3,사용내역!$F$3:$F$2003,"안전관리자 등 인건비"),0)</f>
        <v>0</v>
      </c>
      <c r="F24" s="76">
        <f>IFERROR(SUMIFS(사용내역!$H$3:$H$2003,사용내역!$C$3:$C$2003,"호남",사용내역!$E$3:$E$2003,4,사용내역!$F$3:$F$2003,"안전관리자 등 인건비"),0)</f>
        <v>0</v>
      </c>
      <c r="G24" s="76">
        <f>IFERROR(SUMIFS(사용내역!$H$3:$H$2003,사용내역!$C$3:$C$2003,"호남",사용내역!$E$3:$E$2003,5,사용내역!$F$3:$F$2003,"안전관리자 등 인건비"),0)</f>
        <v>0</v>
      </c>
      <c r="H24" s="76">
        <f>IFERROR(SUMIFS(사용내역!$H$3:$H$2003,사용내역!$C$3:$C$2003,"호남",사용내역!$E$3:$E$2003,6,사용내역!$F$3:$F$2003,"안전관리자 등 인건비"),0)</f>
        <v>0</v>
      </c>
      <c r="I24" s="76">
        <f>IFERROR(SUMIFS(사용내역!$H$3:$H$2003,사용내역!$C$3:$C$2003,"호남",사용내역!$E$3:$E$2003,7,사용내역!$F$3:$F$2003,"안전관리자 등 인건비"),0)</f>
        <v>0</v>
      </c>
      <c r="J24" s="76">
        <f>IFERROR(SUMIFS(사용내역!$H$3:$H$2003,사용내역!$C$3:$C$2003,"호남",사용내역!$E$3:$E$2003,8,사용내역!$F$3:$F$2003,"안전관리자 등 인건비"),0)</f>
        <v>0</v>
      </c>
      <c r="K24" s="76">
        <f>IFERROR(SUMIFS(사용내역!$H$3:$H$2003,사용내역!$C$3:$C$2003,"호남",사용내역!$E$3:$E$2003,9,사용내역!$F$3:$F$2003,"안전관리자 등 인건비"),0)</f>
        <v>0</v>
      </c>
      <c r="L24" s="76">
        <f>IFERROR(SUMIFS(사용내역!$H$3:$H$2003,사용내역!$C$3:$C$2003,"호남",사용내역!$E$3:$E$2003,10,사용내역!$F$3:$F$2003,"안전관리자 등 인건비"),0)</f>
        <v>0</v>
      </c>
      <c r="M24" s="76">
        <f>IFERROR(SUMIFS(사용내역!$H$3:$H$2003,사용내역!$C$3:$C$2003,"호남",사용내역!$E$3:$E$2003,11,사용내역!$F$3:$F$2003,"안전관리자 등 인건비"),0)</f>
        <v>0</v>
      </c>
      <c r="N24" s="76">
        <f>IFERROR(SUMIFS(사용내역!$H$3:$H$2003,사용내역!$C$3:$C$2003,"호남",사용내역!$E$3:$E$2003,12,사용내역!$F$3:$F$2003,"안전관리자 등 인건비"),0)</f>
        <v>0</v>
      </c>
      <c r="O24" s="77">
        <f t="shared" ref="O24:O32" si="4">SUM(C24:N24)</f>
        <v>0</v>
      </c>
      <c r="P24" s="78">
        <f>IFERROR(COUNTIFS(사용내역!$C$3:$C$2003,"호남",사용내역!$F$3:$F$2003,"안전관리자 등 인건비",사용내역!$J$3:$J$2003,"Y"),0)</f>
        <v>0</v>
      </c>
    </row>
    <row r="25" spans="1:16" ht="16.5" customHeight="1">
      <c r="A25" s="123"/>
      <c r="B25" s="12" t="s">
        <v>6</v>
      </c>
      <c r="C25" s="79">
        <f>IFERROR(SUMIFS(사용내역!$H$3:$H$2003,사용내역!$C$3:$C$2003,"호남",사용내역!$E$3:$E$2003,1,사용내역!$F$3:$F$2003,"안전시설비"),0)</f>
        <v>0</v>
      </c>
      <c r="D25" s="79">
        <f>IFERROR(SUMIFS(사용내역!$H$3:$H$2003,사용내역!$C$3:$C$2003,"호남",사용내역!$E$3:$E$2003,2,사용내역!$F$3:$F$2003,"안전시설비"),0)</f>
        <v>0</v>
      </c>
      <c r="E25" s="79">
        <f>IFERROR(SUMIFS(사용내역!$H$3:$H$2003,사용내역!$C$3:$C$2003,"호남",사용내역!$E$3:$E$2003,3,사용내역!$F$3:$F$2003,"안전시설비"),0)</f>
        <v>0</v>
      </c>
      <c r="F25" s="79">
        <f>IFERROR(SUMIFS(사용내역!$H$3:$H$2003,사용내역!$C$3:$C$2003,"호남",사용내역!$E$3:$E$2003,4,사용내역!$F$3:$F$2003,"안전시설비"),0)</f>
        <v>0</v>
      </c>
      <c r="G25" s="79">
        <f>IFERROR(SUMIFS(사용내역!$H$3:$H$2003,사용내역!$C$3:$C$2003,"호남",사용내역!$E$3:$E$2003,5,사용내역!$F$3:$F$2003,"안전시설비"),0)</f>
        <v>0</v>
      </c>
      <c r="H25" s="79">
        <f>IFERROR(SUMIFS(사용내역!$H$3:$H$2003,사용내역!$C$3:$C$2003,"호남",사용내역!$E$3:$E$2003,6,사용내역!$F$3:$F$2003,"안전시설비"),0)</f>
        <v>0</v>
      </c>
      <c r="I25" s="79">
        <f>IFERROR(SUMIFS(사용내역!$H$3:$H$2003,사용내역!$C$3:$C$2003,"호남",사용내역!$E$3:$E$2003,7,사용내역!$F$3:$F$2003,"안전시설비"),0)</f>
        <v>0</v>
      </c>
      <c r="J25" s="79">
        <f>IFERROR(SUMIFS(사용내역!$H$3:$H$2003,사용내역!$C$3:$C$2003,"호남",사용내역!$E$3:$E$2003,8,사용내역!$F$3:$F$2003,"안전시설비"),0)</f>
        <v>0</v>
      </c>
      <c r="K25" s="79">
        <f>IFERROR(SUMIFS(사용내역!$H$3:$H$2003,사용내역!$C$3:$C$2003,"호남",사용내역!$E$3:$E$2003,9,사용내역!$F$3:$F$2003,"안전시설비"),0)</f>
        <v>0</v>
      </c>
      <c r="L25" s="79">
        <f>IFERROR(SUMIFS(사용내역!$H$3:$H$2003,사용내역!$C$3:$C$2003,"호남",사용내역!$E$3:$E$2003,10,사용내역!$F$3:$F$2003,"안전시설비"),0)</f>
        <v>0</v>
      </c>
      <c r="M25" s="79">
        <f>IFERROR(SUMIFS(사용내역!$H$3:$H$2003,사용내역!$C$3:$C$2003,"호남",사용내역!$E$3:$E$2003,11,사용내역!$F$3:$F$2003,"안전시설비"),0)</f>
        <v>0</v>
      </c>
      <c r="N25" s="79">
        <f>IFERROR(SUMIFS(사용내역!$H$3:$H$2003,사용내역!$C$3:$C$2003,"호남",사용내역!$E$3:$E$2003,12,사용내역!$F$3:$F$2003,"안전시설비"),0)</f>
        <v>0</v>
      </c>
      <c r="O25" s="77">
        <f t="shared" si="4"/>
        <v>0</v>
      </c>
      <c r="P25" s="80">
        <f>IFERROR(COUNTIFS(사용내역!$C$3:$C$2003,"호남",사용내역!$F$3:$F$2003,"안전시설비",사용내역!$J$3:$J$2003,"Y"),0)</f>
        <v>0</v>
      </c>
    </row>
    <row r="26" spans="1:16" ht="16.5" customHeight="1">
      <c r="A26" s="123"/>
      <c r="B26" s="8" t="s">
        <v>7</v>
      </c>
      <c r="C26" s="76">
        <f>IFERROR(SUMIFS(사용내역!$H$3:$H$2003,사용내역!$C$3:$C$2003,"호남",사용내역!$E$3:$E$2003,1,사용내역!$F$3:$F$2003,"보호구·안전용품"),0)</f>
        <v>0</v>
      </c>
      <c r="D26" s="76">
        <f>IFERROR(SUMIFS(사용내역!$H$3:$H$2003,사용내역!$C$3:$C$2003,"호남",사용내역!$E$3:$E$2003,2,사용내역!$F$3:$F$2003,"보호구·안전용품"),0)</f>
        <v>0</v>
      </c>
      <c r="E26" s="76">
        <f>IFERROR(SUMIFS(사용내역!$H$3:$H$2003,사용내역!$C$3:$C$2003,"호남",사용내역!$E$3:$E$2003,3,사용내역!$F$3:$F$2003,"보호구·안전용품"),0)</f>
        <v>0</v>
      </c>
      <c r="F26" s="76">
        <f>IFERROR(SUMIFS(사용내역!$H$3:$H$2003,사용내역!$C$3:$C$2003,"호남",사용내역!$E$3:$E$2003,4,사용내역!$F$3:$F$2003,"보호구·안전용품"),0)</f>
        <v>0</v>
      </c>
      <c r="G26" s="76">
        <f>IFERROR(SUMIFS(사용내역!$H$3:$H$2003,사용내역!$C$3:$C$2003,"호남",사용내역!$E$3:$E$2003,5,사용내역!$F$3:$F$2003,"보호구·안전용품"),0)</f>
        <v>0</v>
      </c>
      <c r="H26" s="76">
        <f>IFERROR(SUMIFS(사용내역!$H$3:$H$2003,사용내역!$C$3:$C$2003,"호남",사용내역!$E$3:$E$2003,6,사용내역!$F$3:$F$2003,"보호구·안전용품"),0)</f>
        <v>0</v>
      </c>
      <c r="I26" s="76">
        <f>IFERROR(SUMIFS(사용내역!$H$3:$H$2003,사용내역!$C$3:$C$2003,"호남",사용내역!$E$3:$E$2003,7,사용내역!$F$3:$F$2003,"보호구·안전용품"),0)</f>
        <v>0</v>
      </c>
      <c r="J26" s="76">
        <f>IFERROR(SUMIFS(사용내역!$H$3:$H$2003,사용내역!$C$3:$C$2003,"호남",사용내역!$E$3:$E$2003,8,사용내역!$F$3:$F$2003,"보호구·안전용품"),0)</f>
        <v>0</v>
      </c>
      <c r="K26" s="76">
        <f>IFERROR(SUMIFS(사용내역!$H$3:$H$2003,사용내역!$C$3:$C$2003,"호남",사용내역!$E$3:$E$2003,9,사용내역!$F$3:$F$2003,"보호구·안전용품"),0)</f>
        <v>0</v>
      </c>
      <c r="L26" s="76">
        <f>IFERROR(SUMIFS(사용내역!$H$3:$H$2003,사용내역!$C$3:$C$2003,"호남",사용내역!$E$3:$E$2003,10,사용내역!$F$3:$F$2003,"보호구·안전용품"),0)</f>
        <v>0</v>
      </c>
      <c r="M26" s="76">
        <f>IFERROR(SUMIFS(사용내역!$H$3:$H$2003,사용내역!$C$3:$C$2003,"호남",사용내역!$E$3:$E$2003,11,사용내역!$F$3:$F$2003,"보호구·안전용품"),0)</f>
        <v>0</v>
      </c>
      <c r="N26" s="76">
        <f>IFERROR(SUMIFS(사용내역!$H$3:$H$2003,사용내역!$C$3:$C$2003,"호남",사용내역!$E$3:$E$2003,12,사용내역!$F$3:$F$2003,"보호구·안전용품"),0)</f>
        <v>0</v>
      </c>
      <c r="O26" s="77">
        <f t="shared" si="4"/>
        <v>0</v>
      </c>
      <c r="P26" s="78">
        <f>IFERROR(COUNTIFS(사용내역!$C$3:$C$2003,"호남",사용내역!$F$3:$F$2003,"보호구·안전용품",사용내역!$J$3:$J$2003,"Y"),0)</f>
        <v>0</v>
      </c>
    </row>
    <row r="27" spans="1:16" ht="16.5" customHeight="1">
      <c r="A27" s="123"/>
      <c r="B27" s="12" t="s">
        <v>8</v>
      </c>
      <c r="C27" s="79">
        <f>IFERROR(SUMIFS(사용내역!$H$3:$H$2003,사용내역!$C$3:$C$2003,"호남",사용내역!$E$3:$E$2003,1,사용내역!$F$3:$F$2003,"안전진단비"),0)</f>
        <v>0</v>
      </c>
      <c r="D27" s="79">
        <f>IFERROR(SUMIFS(사용내역!$H$3:$H$2003,사용내역!$C$3:$C$2003,"호남",사용내역!$E$3:$E$2003,2,사용내역!$F$3:$F$2003,"안전진단비"),0)</f>
        <v>0</v>
      </c>
      <c r="E27" s="79">
        <f>IFERROR(SUMIFS(사용내역!$H$3:$H$2003,사용내역!$C$3:$C$2003,"호남",사용내역!$E$3:$E$2003,3,사용내역!$F$3:$F$2003,"안전진단비"),0)</f>
        <v>0</v>
      </c>
      <c r="F27" s="79">
        <f>IFERROR(SUMIFS(사용내역!$H$3:$H$2003,사용내역!$C$3:$C$2003,"호남",사용내역!$E$3:$E$2003,4,사용내역!$F$3:$F$2003,"안전진단비"),0)</f>
        <v>0</v>
      </c>
      <c r="G27" s="79">
        <f>IFERROR(SUMIFS(사용내역!$H$3:$H$2003,사용내역!$C$3:$C$2003,"호남",사용내역!$E$3:$E$2003,5,사용내역!$F$3:$F$2003,"안전진단비"),0)</f>
        <v>0</v>
      </c>
      <c r="H27" s="79">
        <f>IFERROR(SUMIFS(사용내역!$H$3:$H$2003,사용내역!$C$3:$C$2003,"호남",사용내역!$E$3:$E$2003,6,사용내역!$F$3:$F$2003,"안전진단비"),0)</f>
        <v>0</v>
      </c>
      <c r="I27" s="79">
        <f>IFERROR(SUMIFS(사용내역!$H$3:$H$2003,사용내역!$C$3:$C$2003,"호남",사용내역!$E$3:$E$2003,7,사용내역!$F$3:$F$2003,"안전진단비"),0)</f>
        <v>0</v>
      </c>
      <c r="J27" s="79">
        <f>IFERROR(SUMIFS(사용내역!$H$3:$H$2003,사용내역!$C$3:$C$2003,"호남",사용내역!$E$3:$E$2003,8,사용내역!$F$3:$F$2003,"안전진단비"),0)</f>
        <v>0</v>
      </c>
      <c r="K27" s="79">
        <f>IFERROR(SUMIFS(사용내역!$H$3:$H$2003,사용내역!$C$3:$C$2003,"호남",사용내역!$E$3:$E$2003,9,사용내역!$F$3:$F$2003,"안전진단비"),0)</f>
        <v>0</v>
      </c>
      <c r="L27" s="79">
        <f>IFERROR(SUMIFS(사용내역!$H$3:$H$2003,사용내역!$C$3:$C$2003,"호남",사용내역!$E$3:$E$2003,10,사용내역!$F$3:$F$2003,"안전진단비"),0)</f>
        <v>0</v>
      </c>
      <c r="M27" s="79">
        <f>IFERROR(SUMIFS(사용내역!$H$3:$H$2003,사용내역!$C$3:$C$2003,"호남",사용내역!$E$3:$E$2003,11,사용내역!$F$3:$F$2003,"안전진단비"),0)</f>
        <v>0</v>
      </c>
      <c r="N27" s="79">
        <f>IFERROR(SUMIFS(사용내역!$H$3:$H$2003,사용내역!$C$3:$C$2003,"호남",사용내역!$E$3:$E$2003,12,사용내역!$F$3:$F$2003,"안전진단비"),0)</f>
        <v>0</v>
      </c>
      <c r="O27" s="77">
        <f t="shared" si="4"/>
        <v>0</v>
      </c>
      <c r="P27" s="80">
        <f>IFERROR(COUNTIFS(사용내역!$C$3:$C$2003,"호남",사용내역!$F$3:$F$2003,"안전진단비",사용내역!$J$3:$J$2003,"Y"),0)</f>
        <v>0</v>
      </c>
    </row>
    <row r="28" spans="1:16" ht="16.5" customHeight="1">
      <c r="A28" s="123"/>
      <c r="B28" s="8" t="s">
        <v>9</v>
      </c>
      <c r="C28" s="76">
        <f>IFERROR(SUMIFS(사용내역!$H$3:$H$2003,사용내역!$C$3:$C$2003,"호남",사용내역!$E$3:$E$2003,1,사용내역!$F$3:$F$2003,"안전보건교육비·행사비 등"),0)</f>
        <v>0</v>
      </c>
      <c r="D28" s="76">
        <f>IFERROR(SUMIFS(사용내역!$H$3:$H$2003,사용내역!$C$3:$C$2003,"호남",사용내역!$E$3:$E$2003,2,사용내역!$F$3:$F$2003,"안전보건교육비·행사비 등"),0)</f>
        <v>0</v>
      </c>
      <c r="E28" s="76">
        <f>IFERROR(SUMIFS(사용내역!$H$3:$H$2003,사용내역!$C$3:$C$2003,"호남",사용내역!$E$3:$E$2003,3,사용내역!$F$3:$F$2003,"안전보건교육비·행사비 등"),0)</f>
        <v>0</v>
      </c>
      <c r="F28" s="76">
        <f>IFERROR(SUMIFS(사용내역!$H$3:$H$2003,사용내역!$C$3:$C$2003,"호남",사용내역!$E$3:$E$2003,4,사용내역!$F$3:$F$2003,"안전보건교육비·행사비 등"),0)</f>
        <v>0</v>
      </c>
      <c r="G28" s="76">
        <f>IFERROR(SUMIFS(사용내역!$H$3:$H$2003,사용내역!$C$3:$C$2003,"호남",사용내역!$E$3:$E$2003,5,사용내역!$F$3:$F$2003,"안전보건교육비·행사비 등"),0)</f>
        <v>0</v>
      </c>
      <c r="H28" s="76">
        <f>IFERROR(SUMIFS(사용내역!$H$3:$H$2003,사용내역!$C$3:$C$2003,"호남",사용내역!$E$3:$E$2003,6,사용내역!$F$3:$F$2003,"안전보건교육비·행사비 등"),0)</f>
        <v>0</v>
      </c>
      <c r="I28" s="76">
        <f>IFERROR(SUMIFS(사용내역!$H$3:$H$2003,사용내역!$C$3:$C$2003,"호남",사용내역!$E$3:$E$2003,7,사용내역!$F$3:$F$2003,"안전보건교육비·행사비 등"),0)</f>
        <v>0</v>
      </c>
      <c r="J28" s="76">
        <f>IFERROR(SUMIFS(사용내역!$H$3:$H$2003,사용내역!$C$3:$C$2003,"호남",사용내역!$E$3:$E$2003,8,사용내역!$F$3:$F$2003,"안전보건교육비·행사비 등"),0)</f>
        <v>0</v>
      </c>
      <c r="K28" s="76">
        <f>IFERROR(SUMIFS(사용내역!$H$3:$H$2003,사용내역!$C$3:$C$2003,"호남",사용내역!$E$3:$E$2003,9,사용내역!$F$3:$F$2003,"안전보건교육비·행사비 등"),0)</f>
        <v>0</v>
      </c>
      <c r="L28" s="76">
        <f>IFERROR(SUMIFS(사용내역!$H$3:$H$2003,사용내역!$C$3:$C$2003,"호남",사용내역!$E$3:$E$2003,10,사용내역!$F$3:$F$2003,"안전보건교육비·행사비 등"),0)</f>
        <v>0</v>
      </c>
      <c r="M28" s="76">
        <f>IFERROR(SUMIFS(사용내역!$H$3:$H$2003,사용내역!$C$3:$C$2003,"호남",사용내역!$E$3:$E$2003,11,사용내역!$F$3:$F$2003,"안전보건교육비·행사비 등"),0)</f>
        <v>0</v>
      </c>
      <c r="N28" s="76">
        <f>IFERROR(SUMIFS(사용내역!$H$3:$H$2003,사용내역!$C$3:$C$2003,"호남",사용내역!$E$3:$E$2003,12,사용내역!$F$3:$F$2003,"안전보건교육비·행사비 등"),0)</f>
        <v>0</v>
      </c>
      <c r="O28" s="77">
        <f t="shared" si="4"/>
        <v>0</v>
      </c>
      <c r="P28" s="78">
        <f>IFERROR(COUNTIFS(사용내역!$C$3:$C$2003,"호남",사용내역!$F$3:$F$2003,"안전보건교육비·행사비 등",사용내역!$J$3:$J$2003,"Y"),0)</f>
        <v>0</v>
      </c>
    </row>
    <row r="29" spans="1:16" ht="16.5" customHeight="1">
      <c r="A29" s="123"/>
      <c r="B29" s="12" t="s">
        <v>10</v>
      </c>
      <c r="C29" s="79">
        <f>IFERROR(SUMIFS(사용내역!$H$3:$H$2003,사용내역!$C$3:$C$2003,"호남",사용내역!$E$3:$E$2003,1,사용내역!$F$3:$F$2003,"근로자 건강관리비 등"),0)</f>
        <v>0</v>
      </c>
      <c r="D29" s="79">
        <f>IFERROR(SUMIFS(사용내역!$H$3:$H$2003,사용내역!$C$3:$C$2003,"호남",사용내역!$E$3:$E$2003,2,사용내역!$F$3:$F$2003,"근로자 건강관리비 등"),0)</f>
        <v>0</v>
      </c>
      <c r="E29" s="79">
        <f>IFERROR(SUMIFS(사용내역!$H$3:$H$2003,사용내역!$C$3:$C$2003,"호남",사용내역!$E$3:$E$2003,3,사용내역!$F$3:$F$2003,"근로자 건강관리비 등"),0)</f>
        <v>0</v>
      </c>
      <c r="F29" s="79">
        <f>IFERROR(SUMIFS(사용내역!$H$3:$H$2003,사용내역!$C$3:$C$2003,"호남",사용내역!$E$3:$E$2003,4,사용내역!$F$3:$F$2003,"근로자 건강관리비 등"),0)</f>
        <v>0</v>
      </c>
      <c r="G29" s="79">
        <f>IFERROR(SUMIFS(사용내역!$H$3:$H$2003,사용내역!$C$3:$C$2003,"호남",사용내역!$E$3:$E$2003,5,사용내역!$F$3:$F$2003,"근로자 건강관리비 등"),0)</f>
        <v>0</v>
      </c>
      <c r="H29" s="79">
        <f>IFERROR(SUMIFS(사용내역!$H$3:$H$2003,사용내역!$C$3:$C$2003,"호남",사용내역!$E$3:$E$2003,6,사용내역!$F$3:$F$2003,"근로자 건강관리비 등"),0)</f>
        <v>0</v>
      </c>
      <c r="I29" s="79">
        <f>IFERROR(SUMIFS(사용내역!$H$3:$H$2003,사용내역!$C$3:$C$2003,"호남",사용내역!$E$3:$E$2003,7,사용내역!$F$3:$F$2003,"근로자 건강관리비 등"),0)</f>
        <v>0</v>
      </c>
      <c r="J29" s="79">
        <f>IFERROR(SUMIFS(사용내역!$H$3:$H$2003,사용내역!$C$3:$C$2003,"호남",사용내역!$E$3:$E$2003,8,사용내역!$F$3:$F$2003,"근로자 건강관리비 등"),0)</f>
        <v>0</v>
      </c>
      <c r="K29" s="79">
        <f>IFERROR(SUMIFS(사용내역!$H$3:$H$2003,사용내역!$C$3:$C$2003,"호남",사용내역!$E$3:$E$2003,9,사용내역!$F$3:$F$2003,"근로자 건강관리비 등"),0)</f>
        <v>0</v>
      </c>
      <c r="L29" s="79">
        <f>IFERROR(SUMIFS(사용내역!$H$3:$H$2003,사용내역!$C$3:$C$2003,"호남",사용내역!$E$3:$E$2003,10,사용내역!$F$3:$F$2003,"근로자 건강관리비 등"),0)</f>
        <v>0</v>
      </c>
      <c r="M29" s="79">
        <f>IFERROR(SUMIFS(사용내역!$H$3:$H$2003,사용내역!$C$3:$C$2003,"호남",사용내역!$E$3:$E$2003,11,사용내역!$F$3:$F$2003,"근로자 건강관리비 등"),0)</f>
        <v>0</v>
      </c>
      <c r="N29" s="79">
        <f>IFERROR(SUMIFS(사용내역!$H$3:$H$2003,사용내역!$C$3:$C$2003,"호남",사용내역!$E$3:$E$2003,12,사용내역!$F$3:$F$2003,"근로자 건강관리비 등"),0)</f>
        <v>0</v>
      </c>
      <c r="O29" s="77">
        <f t="shared" si="4"/>
        <v>0</v>
      </c>
      <c r="P29" s="80">
        <f>IFERROR(COUNTIFS(사용내역!$C$3:$C$2003,"호남",사용내역!$F$3:$F$2003,"근로자 건강관리비 등",사용내역!$J$3:$J$2003,"Y"),0)</f>
        <v>0</v>
      </c>
    </row>
    <row r="30" spans="1:16" ht="16.5" customHeight="1">
      <c r="A30" s="123"/>
      <c r="B30" s="8" t="s">
        <v>11</v>
      </c>
      <c r="C30" s="76">
        <f>IFERROR(SUMIFS(사용내역!$H$3:$H$2003,사용내역!$C$3:$C$2003,"호남",사용내역!$E$3:$E$2003,1,사용내역!$F$3:$F$2003,"건설재해예방 기술지도비"),0)</f>
        <v>0</v>
      </c>
      <c r="D30" s="76">
        <f>IFERROR(SUMIFS(사용내역!$H$3:$H$2003,사용내역!$C$3:$C$2003,"호남",사용내역!$E$3:$E$2003,2,사용내역!$F$3:$F$2003,"건설재해예방 기술지도비"),0)</f>
        <v>0</v>
      </c>
      <c r="E30" s="76">
        <f>IFERROR(SUMIFS(사용내역!$H$3:$H$2003,사용내역!$C$3:$C$2003,"호남",사용내역!$E$3:$E$2003,3,사용내역!$F$3:$F$2003,"건설재해예방 기술지도비"),0)</f>
        <v>0</v>
      </c>
      <c r="F30" s="76">
        <f>IFERROR(SUMIFS(사용내역!$H$3:$H$2003,사용내역!$C$3:$C$2003,"호남",사용내역!$E$3:$E$2003,4,사용내역!$F$3:$F$2003,"건설재해예방 기술지도비"),0)</f>
        <v>0</v>
      </c>
      <c r="G30" s="76">
        <f>IFERROR(SUMIFS(사용내역!$H$3:$H$2003,사용내역!$C$3:$C$2003,"호남",사용내역!$E$3:$E$2003,5,사용내역!$F$3:$F$2003,"건설재해예방 기술지도비"),0)</f>
        <v>0</v>
      </c>
      <c r="H30" s="76">
        <f>IFERROR(SUMIFS(사용내역!$H$3:$H$2003,사용내역!$C$3:$C$2003,"호남",사용내역!$E$3:$E$2003,6,사용내역!$F$3:$F$2003,"건설재해예방 기술지도비"),0)</f>
        <v>0</v>
      </c>
      <c r="I30" s="76">
        <f>IFERROR(SUMIFS(사용내역!$H$3:$H$2003,사용내역!$C$3:$C$2003,"호남",사용내역!$E$3:$E$2003,7,사용내역!$F$3:$F$2003,"건설재해예방 기술지도비"),0)</f>
        <v>0</v>
      </c>
      <c r="J30" s="76">
        <f>IFERROR(SUMIFS(사용내역!$H$3:$H$2003,사용내역!$C$3:$C$2003,"호남",사용내역!$E$3:$E$2003,8,사용내역!$F$3:$F$2003,"건설재해예방 기술지도비"),0)</f>
        <v>0</v>
      </c>
      <c r="K30" s="76">
        <f>IFERROR(SUMIFS(사용내역!$H$3:$H$2003,사용내역!$C$3:$C$2003,"호남",사용내역!$E$3:$E$2003,9,사용내역!$F$3:$F$2003,"건설재해예방 기술지도비"),0)</f>
        <v>0</v>
      </c>
      <c r="L30" s="76">
        <f>IFERROR(SUMIFS(사용내역!$H$3:$H$2003,사용내역!$C$3:$C$2003,"호남",사용내역!$E$3:$E$2003,10,사용내역!$F$3:$F$2003,"건설재해예방 기술지도비"),0)</f>
        <v>0</v>
      </c>
      <c r="M30" s="76">
        <f>IFERROR(SUMIFS(사용내역!$H$3:$H$2003,사용내역!$C$3:$C$2003,"호남",사용내역!$E$3:$E$2003,11,사용내역!$F$3:$F$2003,"건설재해예방 기술지도비"),0)</f>
        <v>0</v>
      </c>
      <c r="N30" s="76">
        <f>IFERROR(SUMIFS(사용내역!$H$3:$H$2003,사용내역!$C$3:$C$2003,"호남",사용내역!$E$3:$E$2003,12,사용내역!$F$3:$F$2003,"건설재해예방 기술지도비"),0)</f>
        <v>0</v>
      </c>
      <c r="O30" s="77">
        <f t="shared" si="4"/>
        <v>0</v>
      </c>
      <c r="P30" s="78">
        <f>IFERROR(COUNTIFS(사용내역!$C$3:$C$2003,"호남",사용내역!$F$3:$F$2003,"건설재해예방 기술지도비",사용내역!$J$3:$J$2003,"Y"),0)</f>
        <v>0</v>
      </c>
    </row>
    <row r="31" spans="1:16" ht="16.5" customHeight="1">
      <c r="A31" s="123"/>
      <c r="B31" s="12" t="s">
        <v>12</v>
      </c>
      <c r="C31" s="79">
        <f>IFERROR(SUMIFS(사용내역!$H$3:$H$2003,사용내역!$C$3:$C$2003,"호남",사용내역!$E$3:$E$2003,1,사용내역!$F$3:$F$2003,"기타"),0)</f>
        <v>0</v>
      </c>
      <c r="D31" s="79">
        <f>IFERROR(SUMIFS(사용내역!$H$3:$H$2003,사용내역!$C$3:$C$2003,"호남",사용내역!$E$3:$E$2003,2,사용내역!$F$3:$F$2003,"기타"),0)</f>
        <v>0</v>
      </c>
      <c r="E31" s="79">
        <f>IFERROR(SUMIFS(사용내역!$H$3:$H$2003,사용내역!$C$3:$C$2003,"호남",사용내역!$E$3:$E$2003,3,사용내역!$F$3:$F$2003,"기타"),0)</f>
        <v>0</v>
      </c>
      <c r="F31" s="79">
        <f>IFERROR(SUMIFS(사용내역!$H$3:$H$2003,사용내역!$C$3:$C$2003,"호남",사용내역!$E$3:$E$2003,4,사용내역!$F$3:$F$2003,"기타"),0)</f>
        <v>0</v>
      </c>
      <c r="G31" s="79">
        <f>IFERROR(SUMIFS(사용내역!$H$3:$H$2003,사용내역!$C$3:$C$2003,"호남",사용내역!$E$3:$E$2003,5,사용내역!$F$3:$F$2003,"기타"),0)</f>
        <v>0</v>
      </c>
      <c r="H31" s="79">
        <f>IFERROR(SUMIFS(사용내역!$H$3:$H$2003,사용내역!$C$3:$C$2003,"호남",사용내역!$E$3:$E$2003,6,사용내역!$F$3:$F$2003,"기타"),0)</f>
        <v>0</v>
      </c>
      <c r="I31" s="79">
        <f>IFERROR(SUMIFS(사용내역!$H$3:$H$2003,사용내역!$C$3:$C$2003,"호남",사용내역!$E$3:$E$2003,7,사용내역!$F$3:$F$2003,"기타"),0)</f>
        <v>0</v>
      </c>
      <c r="J31" s="79">
        <f>IFERROR(SUMIFS(사용내역!$H$3:$H$2003,사용내역!$C$3:$C$2003,"호남",사용내역!$E$3:$E$2003,8,사용내역!$F$3:$F$2003,"기타"),0)</f>
        <v>0</v>
      </c>
      <c r="K31" s="79">
        <f>IFERROR(SUMIFS(사용내역!$H$3:$H$2003,사용내역!$C$3:$C$2003,"호남",사용내역!$E$3:$E$2003,9,사용내역!$F$3:$F$2003,"기타"),0)</f>
        <v>0</v>
      </c>
      <c r="L31" s="79">
        <f>IFERROR(SUMIFS(사용내역!$H$3:$H$2003,사용내역!$C$3:$C$2003,"호남",사용내역!$E$3:$E$2003,10,사용내역!$F$3:$F$2003,"기타"),0)</f>
        <v>0</v>
      </c>
      <c r="M31" s="79">
        <f>IFERROR(SUMIFS(사용내역!$H$3:$H$2003,사용내역!$C$3:$C$2003,"호남",사용내역!$E$3:$E$2003,11,사용내역!$F$3:$F$2003,"기타"),0)</f>
        <v>0</v>
      </c>
      <c r="N31" s="79">
        <f>IFERROR(SUMIFS(사용내역!$H$3:$H$2003,사용내역!$C$3:$C$2003,"호남",사용내역!$E$3:$E$2003,12,사용내역!$F$3:$F$2003,"기타"),0)</f>
        <v>0</v>
      </c>
      <c r="O31" s="77">
        <f t="shared" si="4"/>
        <v>0</v>
      </c>
      <c r="P31" s="80">
        <f>IFERROR(COUNTIFS(사용내역!$C$3:$C$2003,"호남",사용내역!$F$3:$F$2003,"기타",사용내역!$J$3:$J$2003,"Y"),0)</f>
        <v>0</v>
      </c>
    </row>
    <row r="32" spans="1:16" ht="16.5" customHeight="1">
      <c r="A32" s="123"/>
      <c r="B32" s="8" t="s">
        <v>13</v>
      </c>
      <c r="C32" s="76">
        <f>IFERROR(SUMIFS(사용내역!$H$3:$H$2003,사용내역!$C$3:$C$2003,"호남",사용내역!$E$3:$E$2003,1,사용내역!$F$3:$F$2003,"산보위·위험성평가 안건"),0)</f>
        <v>0</v>
      </c>
      <c r="D32" s="76">
        <f>IFERROR(SUMIFS(사용내역!$H$3:$H$2003,사용내역!$C$3:$C$2003,"호남",사용내역!$E$3:$E$2003,2,사용내역!$F$3:$F$2003,"산보위·위험성평가 안건"),0)</f>
        <v>0</v>
      </c>
      <c r="E32" s="76">
        <f>IFERROR(SUMIFS(사용내역!$H$3:$H$2003,사용내역!$C$3:$C$2003,"호남",사용내역!$E$3:$E$2003,3,사용내역!$F$3:$F$2003,"산보위·위험성평가 안건"),0)</f>
        <v>0</v>
      </c>
      <c r="F32" s="76">
        <f>IFERROR(SUMIFS(사용내역!$H$3:$H$2003,사용내역!$C$3:$C$2003,"호남",사용내역!$E$3:$E$2003,4,사용내역!$F$3:$F$2003,"산보위·위험성평가 안건"),0)</f>
        <v>0</v>
      </c>
      <c r="G32" s="76">
        <f>IFERROR(SUMIFS(사용내역!$H$3:$H$2003,사용내역!$C$3:$C$2003,"호남",사용내역!$E$3:$E$2003,5,사용내역!$F$3:$F$2003,"산보위·위험성평가 안건"),0)</f>
        <v>0</v>
      </c>
      <c r="H32" s="76">
        <f>IFERROR(SUMIFS(사용내역!$H$3:$H$2003,사용내역!$C$3:$C$2003,"호남",사용내역!$E$3:$E$2003,6,사용내역!$F$3:$F$2003,"산보위·위험성평가 안건"),0)</f>
        <v>0</v>
      </c>
      <c r="I32" s="76">
        <f>IFERROR(SUMIFS(사용내역!$H$3:$H$2003,사용내역!$C$3:$C$2003,"호남",사용내역!$E$3:$E$2003,7,사용내역!$F$3:$F$2003,"산보위·위험성평가 안건"),0)</f>
        <v>0</v>
      </c>
      <c r="J32" s="76">
        <f>IFERROR(SUMIFS(사용내역!$H$3:$H$2003,사용내역!$C$3:$C$2003,"호남",사용내역!$E$3:$E$2003,8,사용내역!$F$3:$F$2003,"산보위·위험성평가 안건"),0)</f>
        <v>0</v>
      </c>
      <c r="K32" s="76">
        <f>IFERROR(SUMIFS(사용내역!$H$3:$H$2003,사용내역!$C$3:$C$2003,"호남",사용내역!$E$3:$E$2003,9,사용내역!$F$3:$F$2003,"산보위·위험성평가 안건"),0)</f>
        <v>0</v>
      </c>
      <c r="L32" s="76">
        <f>IFERROR(SUMIFS(사용내역!$H$3:$H$2003,사용내역!$C$3:$C$2003,"호남",사용내역!$E$3:$E$2003,10,사용내역!$F$3:$F$2003,"산보위·위험성평가 안건"),0)</f>
        <v>0</v>
      </c>
      <c r="M32" s="76">
        <f>IFERROR(SUMIFS(사용내역!$H$3:$H$2003,사용내역!$C$3:$C$2003,"호남",사용내역!$E$3:$E$2003,11,사용내역!$F$3:$F$2003,"산보위·위험성평가 안건"),0)</f>
        <v>0</v>
      </c>
      <c r="N32" s="76">
        <f>IFERROR(SUMIFS(사용내역!$H$3:$H$2003,사용내역!$C$3:$C$2003,"호남",사용내역!$E$3:$E$2003,12,사용내역!$F$3:$F$2003,"산보위·위험성평가 안건"),0)</f>
        <v>0</v>
      </c>
      <c r="O32" s="77">
        <f t="shared" si="4"/>
        <v>0</v>
      </c>
      <c r="P32" s="78">
        <f>IFERROR(COUNTIFS(사용내역!$C$3:$C$2003,"호남",사용내역!$F$3:$F$2003,"산보위·위험성평가 안건",사용내역!$J$3:$J$2003,"Y"),0)</f>
        <v>0</v>
      </c>
    </row>
    <row r="33" spans="1:16" ht="19.5" customHeight="1">
      <c r="A33" s="124" t="s">
        <v>18</v>
      </c>
      <c r="B33" s="124"/>
      <c r="C33" s="85">
        <f t="shared" ref="C33:P33" si="5">SUM(C24:C32)</f>
        <v>0</v>
      </c>
      <c r="D33" s="85">
        <f t="shared" si="5"/>
        <v>0</v>
      </c>
      <c r="E33" s="85">
        <f t="shared" si="5"/>
        <v>0</v>
      </c>
      <c r="F33" s="85">
        <f t="shared" si="5"/>
        <v>0</v>
      </c>
      <c r="G33" s="85">
        <f t="shared" si="5"/>
        <v>0</v>
      </c>
      <c r="H33" s="85">
        <f t="shared" si="5"/>
        <v>0</v>
      </c>
      <c r="I33" s="85">
        <f t="shared" si="5"/>
        <v>0</v>
      </c>
      <c r="J33" s="85">
        <f t="shared" si="5"/>
        <v>0</v>
      </c>
      <c r="K33" s="85">
        <f t="shared" si="5"/>
        <v>0</v>
      </c>
      <c r="L33" s="85">
        <f t="shared" si="5"/>
        <v>0</v>
      </c>
      <c r="M33" s="85">
        <f t="shared" si="5"/>
        <v>0</v>
      </c>
      <c r="N33" s="85">
        <f t="shared" si="5"/>
        <v>0</v>
      </c>
      <c r="O33" s="85">
        <f t="shared" si="5"/>
        <v>0</v>
      </c>
      <c r="P33" s="86">
        <f t="shared" si="5"/>
        <v>0</v>
      </c>
    </row>
    <row r="34" spans="1:16" ht="16.5" customHeight="1">
      <c r="A34" s="123" t="s">
        <v>19</v>
      </c>
      <c r="B34" s="8" t="s">
        <v>5</v>
      </c>
      <c r="C34" s="76">
        <f>IFERROR(SUMIFS(사용내역!$H$3:$H$2003,사용내역!$C$3:$C$2003,"부산",사용내역!$E$3:$E$2003,1,사용내역!$F$3:$F$2003,"안전관리자 등 인건비"),0)</f>
        <v>0</v>
      </c>
      <c r="D34" s="76">
        <f>IFERROR(SUMIFS(사용내역!$H$3:$H$2003,사용내역!$C$3:$C$2003,"부산",사용내역!$E$3:$E$2003,2,사용내역!$F$3:$F$2003,"안전관리자 등 인건비"),0)</f>
        <v>0</v>
      </c>
      <c r="E34" s="76">
        <f>IFERROR(SUMIFS(사용내역!$H$3:$H$2003,사용내역!$C$3:$C$2003,"부산",사용내역!$E$3:$E$2003,3,사용내역!$F$3:$F$2003,"안전관리자 등 인건비"),0)</f>
        <v>0</v>
      </c>
      <c r="F34" s="76">
        <f>IFERROR(SUMIFS(사용내역!$H$3:$H$2003,사용내역!$C$3:$C$2003,"부산",사용내역!$E$3:$E$2003,4,사용내역!$F$3:$F$2003,"안전관리자 등 인건비"),0)</f>
        <v>0</v>
      </c>
      <c r="G34" s="76">
        <f>IFERROR(SUMIFS(사용내역!$H$3:$H$2003,사용내역!$C$3:$C$2003,"부산",사용내역!$E$3:$E$2003,5,사용내역!$F$3:$F$2003,"안전관리자 등 인건비"),0)</f>
        <v>0</v>
      </c>
      <c r="H34" s="76">
        <f>IFERROR(SUMIFS(사용내역!$H$3:$H$2003,사용내역!$C$3:$C$2003,"부산",사용내역!$E$3:$E$2003,6,사용내역!$F$3:$F$2003,"안전관리자 등 인건비"),0)</f>
        <v>0</v>
      </c>
      <c r="I34" s="76">
        <f>IFERROR(SUMIFS(사용내역!$H$3:$H$2003,사용내역!$C$3:$C$2003,"부산",사용내역!$E$3:$E$2003,7,사용내역!$F$3:$F$2003,"안전관리자 등 인건비"),0)</f>
        <v>0</v>
      </c>
      <c r="J34" s="76">
        <f>IFERROR(SUMIFS(사용내역!$H$3:$H$2003,사용내역!$C$3:$C$2003,"부산",사용내역!$E$3:$E$2003,8,사용내역!$F$3:$F$2003,"안전관리자 등 인건비"),0)</f>
        <v>0</v>
      </c>
      <c r="K34" s="76">
        <f>IFERROR(SUMIFS(사용내역!$H$3:$H$2003,사용내역!$C$3:$C$2003,"부산",사용내역!$E$3:$E$2003,9,사용내역!$F$3:$F$2003,"안전관리자 등 인건비"),0)</f>
        <v>0</v>
      </c>
      <c r="L34" s="76">
        <f>IFERROR(SUMIFS(사용내역!$H$3:$H$2003,사용내역!$C$3:$C$2003,"부산",사용내역!$E$3:$E$2003,10,사용내역!$F$3:$F$2003,"안전관리자 등 인건비"),0)</f>
        <v>0</v>
      </c>
      <c r="M34" s="76">
        <f>IFERROR(SUMIFS(사용내역!$H$3:$H$2003,사용내역!$C$3:$C$2003,"부산",사용내역!$E$3:$E$2003,11,사용내역!$F$3:$F$2003,"안전관리자 등 인건비"),0)</f>
        <v>0</v>
      </c>
      <c r="N34" s="76">
        <f>IFERROR(SUMIFS(사용내역!$H$3:$H$2003,사용내역!$C$3:$C$2003,"부산",사용내역!$E$3:$E$2003,12,사용내역!$F$3:$F$2003,"안전관리자 등 인건비"),0)</f>
        <v>0</v>
      </c>
      <c r="O34" s="77">
        <f t="shared" ref="O34:O42" si="6">SUM(C34:N34)</f>
        <v>0</v>
      </c>
      <c r="P34" s="78">
        <f>IFERROR(COUNTIFS(사용내역!$C$3:$C$2003,"부산",사용내역!$F$3:$F$2003,"안전관리자 등 인건비",사용내역!$J$3:$J$2003,"Y"),0)</f>
        <v>0</v>
      </c>
    </row>
    <row r="35" spans="1:16" ht="16.5" customHeight="1">
      <c r="A35" s="123"/>
      <c r="B35" s="12" t="s">
        <v>6</v>
      </c>
      <c r="C35" s="79">
        <f>IFERROR(SUMIFS(사용내역!$H$3:$H$2003,사용내역!$C$3:$C$2003,"부산",사용내역!$E$3:$E$2003,1,사용내역!$F$3:$F$2003,"안전시설비"),0)</f>
        <v>0</v>
      </c>
      <c r="D35" s="79">
        <f>IFERROR(SUMIFS(사용내역!$H$3:$H$2003,사용내역!$C$3:$C$2003,"부산",사용내역!$E$3:$E$2003,2,사용내역!$F$3:$F$2003,"안전시설비"),0)</f>
        <v>0</v>
      </c>
      <c r="E35" s="79">
        <f>IFERROR(SUMIFS(사용내역!$H$3:$H$2003,사용내역!$C$3:$C$2003,"부산",사용내역!$E$3:$E$2003,3,사용내역!$F$3:$F$2003,"안전시설비"),0)</f>
        <v>0</v>
      </c>
      <c r="F35" s="79">
        <f>IFERROR(SUMIFS(사용내역!$H$3:$H$2003,사용내역!$C$3:$C$2003,"부산",사용내역!$E$3:$E$2003,4,사용내역!$F$3:$F$2003,"안전시설비"),0)</f>
        <v>0</v>
      </c>
      <c r="G35" s="79">
        <f>IFERROR(SUMIFS(사용내역!$H$3:$H$2003,사용내역!$C$3:$C$2003,"부산",사용내역!$E$3:$E$2003,5,사용내역!$F$3:$F$2003,"안전시설비"),0)</f>
        <v>0</v>
      </c>
      <c r="H35" s="79">
        <f>IFERROR(SUMIFS(사용내역!$H$3:$H$2003,사용내역!$C$3:$C$2003,"부산",사용내역!$E$3:$E$2003,6,사용내역!$F$3:$F$2003,"안전시설비"),0)</f>
        <v>0</v>
      </c>
      <c r="I35" s="79">
        <f>IFERROR(SUMIFS(사용내역!$H$3:$H$2003,사용내역!$C$3:$C$2003,"부산",사용내역!$E$3:$E$2003,7,사용내역!$F$3:$F$2003,"안전시설비"),0)</f>
        <v>0</v>
      </c>
      <c r="J35" s="79">
        <f>IFERROR(SUMIFS(사용내역!$H$3:$H$2003,사용내역!$C$3:$C$2003,"부산",사용내역!$E$3:$E$2003,8,사용내역!$F$3:$F$2003,"안전시설비"),0)</f>
        <v>0</v>
      </c>
      <c r="K35" s="79">
        <f>IFERROR(SUMIFS(사용내역!$H$3:$H$2003,사용내역!$C$3:$C$2003,"부산",사용내역!$E$3:$E$2003,9,사용내역!$F$3:$F$2003,"안전시설비"),0)</f>
        <v>0</v>
      </c>
      <c r="L35" s="79">
        <f>IFERROR(SUMIFS(사용내역!$H$3:$H$2003,사용내역!$C$3:$C$2003,"부산",사용내역!$E$3:$E$2003,10,사용내역!$F$3:$F$2003,"안전시설비"),0)</f>
        <v>0</v>
      </c>
      <c r="M35" s="79">
        <f>IFERROR(SUMIFS(사용내역!$H$3:$H$2003,사용내역!$C$3:$C$2003,"부산",사용내역!$E$3:$E$2003,11,사용내역!$F$3:$F$2003,"안전시설비"),0)</f>
        <v>0</v>
      </c>
      <c r="N35" s="79">
        <f>IFERROR(SUMIFS(사용내역!$H$3:$H$2003,사용내역!$C$3:$C$2003,"부산",사용내역!$E$3:$E$2003,12,사용내역!$F$3:$F$2003,"안전시설비"),0)</f>
        <v>0</v>
      </c>
      <c r="O35" s="77">
        <f t="shared" si="6"/>
        <v>0</v>
      </c>
      <c r="P35" s="80">
        <f>IFERROR(COUNTIFS(사용내역!$C$3:$C$2003,"부산",사용내역!$F$3:$F$2003,"안전시설비",사용내역!$J$3:$J$2003,"Y"),0)</f>
        <v>0</v>
      </c>
    </row>
    <row r="36" spans="1:16" ht="16.5" customHeight="1">
      <c r="A36" s="123"/>
      <c r="B36" s="8" t="s">
        <v>7</v>
      </c>
      <c r="C36" s="76">
        <f>IFERROR(SUMIFS(사용내역!$H$3:$H$2003,사용내역!$C$3:$C$2003,"부산",사용내역!$E$3:$E$2003,1,사용내역!$F$3:$F$2003,"보호구·안전용품"),0)</f>
        <v>0</v>
      </c>
      <c r="D36" s="76">
        <f>IFERROR(SUMIFS(사용내역!$H$3:$H$2003,사용내역!$C$3:$C$2003,"부산",사용내역!$E$3:$E$2003,2,사용내역!$F$3:$F$2003,"보호구·안전용품"),0)</f>
        <v>0</v>
      </c>
      <c r="E36" s="76">
        <f>IFERROR(SUMIFS(사용내역!$H$3:$H$2003,사용내역!$C$3:$C$2003,"부산",사용내역!$E$3:$E$2003,3,사용내역!$F$3:$F$2003,"보호구·안전용품"),0)</f>
        <v>0</v>
      </c>
      <c r="F36" s="76">
        <f>IFERROR(SUMIFS(사용내역!$H$3:$H$2003,사용내역!$C$3:$C$2003,"부산",사용내역!$E$3:$E$2003,4,사용내역!$F$3:$F$2003,"보호구·안전용품"),0)</f>
        <v>0</v>
      </c>
      <c r="G36" s="76">
        <f>IFERROR(SUMIFS(사용내역!$H$3:$H$2003,사용내역!$C$3:$C$2003,"부산",사용내역!$E$3:$E$2003,5,사용내역!$F$3:$F$2003,"보호구·안전용품"),0)</f>
        <v>0</v>
      </c>
      <c r="H36" s="76">
        <f>IFERROR(SUMIFS(사용내역!$H$3:$H$2003,사용내역!$C$3:$C$2003,"부산",사용내역!$E$3:$E$2003,6,사용내역!$F$3:$F$2003,"보호구·안전용품"),0)</f>
        <v>0</v>
      </c>
      <c r="I36" s="76">
        <f>IFERROR(SUMIFS(사용내역!$H$3:$H$2003,사용내역!$C$3:$C$2003,"부산",사용내역!$E$3:$E$2003,7,사용내역!$F$3:$F$2003,"보호구·안전용품"),0)</f>
        <v>0</v>
      </c>
      <c r="J36" s="76">
        <f>IFERROR(SUMIFS(사용내역!$H$3:$H$2003,사용내역!$C$3:$C$2003,"부산",사용내역!$E$3:$E$2003,8,사용내역!$F$3:$F$2003,"보호구·안전용품"),0)</f>
        <v>0</v>
      </c>
      <c r="K36" s="76">
        <f>IFERROR(SUMIFS(사용내역!$H$3:$H$2003,사용내역!$C$3:$C$2003,"부산",사용내역!$E$3:$E$2003,9,사용내역!$F$3:$F$2003,"보호구·안전용품"),0)</f>
        <v>0</v>
      </c>
      <c r="L36" s="76">
        <f>IFERROR(SUMIFS(사용내역!$H$3:$H$2003,사용내역!$C$3:$C$2003,"부산",사용내역!$E$3:$E$2003,10,사용내역!$F$3:$F$2003,"보호구·안전용품"),0)</f>
        <v>0</v>
      </c>
      <c r="M36" s="76">
        <f>IFERROR(SUMIFS(사용내역!$H$3:$H$2003,사용내역!$C$3:$C$2003,"부산",사용내역!$E$3:$E$2003,11,사용내역!$F$3:$F$2003,"보호구·안전용품"),0)</f>
        <v>0</v>
      </c>
      <c r="N36" s="76">
        <f>IFERROR(SUMIFS(사용내역!$H$3:$H$2003,사용내역!$C$3:$C$2003,"부산",사용내역!$E$3:$E$2003,12,사용내역!$F$3:$F$2003,"보호구·안전용품"),0)</f>
        <v>0</v>
      </c>
      <c r="O36" s="77">
        <f t="shared" si="6"/>
        <v>0</v>
      </c>
      <c r="P36" s="78">
        <f>IFERROR(COUNTIFS(사용내역!$C$3:$C$2003,"부산",사용내역!$F$3:$F$2003,"보호구·안전용품",사용내역!$J$3:$J$2003,"Y"),0)</f>
        <v>0</v>
      </c>
    </row>
    <row r="37" spans="1:16" ht="16.5" customHeight="1">
      <c r="A37" s="123"/>
      <c r="B37" s="12" t="s">
        <v>8</v>
      </c>
      <c r="C37" s="79">
        <f>IFERROR(SUMIFS(사용내역!$H$3:$H$2003,사용내역!$C$3:$C$2003,"부산",사용내역!$E$3:$E$2003,1,사용내역!$F$3:$F$2003,"안전진단비"),0)</f>
        <v>0</v>
      </c>
      <c r="D37" s="79">
        <f>IFERROR(SUMIFS(사용내역!$H$3:$H$2003,사용내역!$C$3:$C$2003,"부산",사용내역!$E$3:$E$2003,2,사용내역!$F$3:$F$2003,"안전진단비"),0)</f>
        <v>0</v>
      </c>
      <c r="E37" s="79">
        <f>IFERROR(SUMIFS(사용내역!$H$3:$H$2003,사용내역!$C$3:$C$2003,"부산",사용내역!$E$3:$E$2003,3,사용내역!$F$3:$F$2003,"안전진단비"),0)</f>
        <v>0</v>
      </c>
      <c r="F37" s="79">
        <f>IFERROR(SUMIFS(사용내역!$H$3:$H$2003,사용내역!$C$3:$C$2003,"부산",사용내역!$E$3:$E$2003,4,사용내역!$F$3:$F$2003,"안전진단비"),0)</f>
        <v>0</v>
      </c>
      <c r="G37" s="79">
        <f>IFERROR(SUMIFS(사용내역!$H$3:$H$2003,사용내역!$C$3:$C$2003,"부산",사용내역!$E$3:$E$2003,5,사용내역!$F$3:$F$2003,"안전진단비"),0)</f>
        <v>0</v>
      </c>
      <c r="H37" s="79">
        <f>IFERROR(SUMIFS(사용내역!$H$3:$H$2003,사용내역!$C$3:$C$2003,"부산",사용내역!$E$3:$E$2003,6,사용내역!$F$3:$F$2003,"안전진단비"),0)</f>
        <v>0</v>
      </c>
      <c r="I37" s="79">
        <f>IFERROR(SUMIFS(사용내역!$H$3:$H$2003,사용내역!$C$3:$C$2003,"부산",사용내역!$E$3:$E$2003,7,사용내역!$F$3:$F$2003,"안전진단비"),0)</f>
        <v>0</v>
      </c>
      <c r="J37" s="79">
        <f>IFERROR(SUMIFS(사용내역!$H$3:$H$2003,사용내역!$C$3:$C$2003,"부산",사용내역!$E$3:$E$2003,8,사용내역!$F$3:$F$2003,"안전진단비"),0)</f>
        <v>0</v>
      </c>
      <c r="K37" s="79">
        <f>IFERROR(SUMIFS(사용내역!$H$3:$H$2003,사용내역!$C$3:$C$2003,"부산",사용내역!$E$3:$E$2003,9,사용내역!$F$3:$F$2003,"안전진단비"),0)</f>
        <v>0</v>
      </c>
      <c r="L37" s="79">
        <f>IFERROR(SUMIFS(사용내역!$H$3:$H$2003,사용내역!$C$3:$C$2003,"부산",사용내역!$E$3:$E$2003,10,사용내역!$F$3:$F$2003,"안전진단비"),0)</f>
        <v>0</v>
      </c>
      <c r="M37" s="79">
        <f>IFERROR(SUMIFS(사용내역!$H$3:$H$2003,사용내역!$C$3:$C$2003,"부산",사용내역!$E$3:$E$2003,11,사용내역!$F$3:$F$2003,"안전진단비"),0)</f>
        <v>0</v>
      </c>
      <c r="N37" s="79">
        <f>IFERROR(SUMIFS(사용내역!$H$3:$H$2003,사용내역!$C$3:$C$2003,"부산",사용내역!$E$3:$E$2003,12,사용내역!$F$3:$F$2003,"안전진단비"),0)</f>
        <v>0</v>
      </c>
      <c r="O37" s="77">
        <f t="shared" si="6"/>
        <v>0</v>
      </c>
      <c r="P37" s="80">
        <f>IFERROR(COUNTIFS(사용내역!$C$3:$C$2003,"부산",사용내역!$F$3:$F$2003,"안전진단비",사용내역!$J$3:$J$2003,"Y"),0)</f>
        <v>0</v>
      </c>
    </row>
    <row r="38" spans="1:16" ht="16.5" customHeight="1">
      <c r="A38" s="123"/>
      <c r="B38" s="8" t="s">
        <v>9</v>
      </c>
      <c r="C38" s="76">
        <f>IFERROR(SUMIFS(사용내역!$H$3:$H$2003,사용내역!$C$3:$C$2003,"부산",사용내역!$E$3:$E$2003,1,사용내역!$F$3:$F$2003,"안전보건교육비·행사비 등"),0)</f>
        <v>0</v>
      </c>
      <c r="D38" s="76">
        <f>IFERROR(SUMIFS(사용내역!$H$3:$H$2003,사용내역!$C$3:$C$2003,"부산",사용내역!$E$3:$E$2003,2,사용내역!$F$3:$F$2003,"안전보건교육비·행사비 등"),0)</f>
        <v>0</v>
      </c>
      <c r="E38" s="76">
        <f>IFERROR(SUMIFS(사용내역!$H$3:$H$2003,사용내역!$C$3:$C$2003,"부산",사용내역!$E$3:$E$2003,3,사용내역!$F$3:$F$2003,"안전보건교육비·행사비 등"),0)</f>
        <v>0</v>
      </c>
      <c r="F38" s="76">
        <f>IFERROR(SUMIFS(사용내역!$H$3:$H$2003,사용내역!$C$3:$C$2003,"부산",사용내역!$E$3:$E$2003,4,사용내역!$F$3:$F$2003,"안전보건교육비·행사비 등"),0)</f>
        <v>0</v>
      </c>
      <c r="G38" s="76">
        <f>IFERROR(SUMIFS(사용내역!$H$3:$H$2003,사용내역!$C$3:$C$2003,"부산",사용내역!$E$3:$E$2003,5,사용내역!$F$3:$F$2003,"안전보건교육비·행사비 등"),0)</f>
        <v>0</v>
      </c>
      <c r="H38" s="76">
        <f>IFERROR(SUMIFS(사용내역!$H$3:$H$2003,사용내역!$C$3:$C$2003,"부산",사용내역!$E$3:$E$2003,6,사용내역!$F$3:$F$2003,"안전보건교육비·행사비 등"),0)</f>
        <v>0</v>
      </c>
      <c r="I38" s="76">
        <f>IFERROR(SUMIFS(사용내역!$H$3:$H$2003,사용내역!$C$3:$C$2003,"부산",사용내역!$E$3:$E$2003,7,사용내역!$F$3:$F$2003,"안전보건교육비·행사비 등"),0)</f>
        <v>0</v>
      </c>
      <c r="J38" s="76">
        <f>IFERROR(SUMIFS(사용내역!$H$3:$H$2003,사용내역!$C$3:$C$2003,"부산",사용내역!$E$3:$E$2003,8,사용내역!$F$3:$F$2003,"안전보건교육비·행사비 등"),0)</f>
        <v>0</v>
      </c>
      <c r="K38" s="76">
        <f>IFERROR(SUMIFS(사용내역!$H$3:$H$2003,사용내역!$C$3:$C$2003,"부산",사용내역!$E$3:$E$2003,9,사용내역!$F$3:$F$2003,"안전보건교육비·행사비 등"),0)</f>
        <v>0</v>
      </c>
      <c r="L38" s="76">
        <f>IFERROR(SUMIFS(사용내역!$H$3:$H$2003,사용내역!$C$3:$C$2003,"부산",사용내역!$E$3:$E$2003,10,사용내역!$F$3:$F$2003,"안전보건교육비·행사비 등"),0)</f>
        <v>0</v>
      </c>
      <c r="M38" s="76">
        <f>IFERROR(SUMIFS(사용내역!$H$3:$H$2003,사용내역!$C$3:$C$2003,"부산",사용내역!$E$3:$E$2003,11,사용내역!$F$3:$F$2003,"안전보건교육비·행사비 등"),0)</f>
        <v>0</v>
      </c>
      <c r="N38" s="76">
        <f>IFERROR(SUMIFS(사용내역!$H$3:$H$2003,사용내역!$C$3:$C$2003,"부산",사용내역!$E$3:$E$2003,12,사용내역!$F$3:$F$2003,"안전보건교육비·행사비 등"),0)</f>
        <v>0</v>
      </c>
      <c r="O38" s="77">
        <f t="shared" si="6"/>
        <v>0</v>
      </c>
      <c r="P38" s="78">
        <f>IFERROR(COUNTIFS(사용내역!$C$3:$C$2003,"부산",사용내역!$F$3:$F$2003,"안전보건교육비·행사비 등",사용내역!$J$3:$J$2003,"Y"),0)</f>
        <v>0</v>
      </c>
    </row>
    <row r="39" spans="1:16" ht="16.5" customHeight="1">
      <c r="A39" s="123"/>
      <c r="B39" s="12" t="s">
        <v>10</v>
      </c>
      <c r="C39" s="79">
        <f>IFERROR(SUMIFS(사용내역!$H$3:$H$2003,사용내역!$C$3:$C$2003,"부산",사용내역!$E$3:$E$2003,1,사용내역!$F$3:$F$2003,"근로자 건강관리비 등"),0)</f>
        <v>0</v>
      </c>
      <c r="D39" s="79">
        <f>IFERROR(SUMIFS(사용내역!$H$3:$H$2003,사용내역!$C$3:$C$2003,"부산",사용내역!$E$3:$E$2003,2,사용내역!$F$3:$F$2003,"근로자 건강관리비 등"),0)</f>
        <v>0</v>
      </c>
      <c r="E39" s="79">
        <f>IFERROR(SUMIFS(사용내역!$H$3:$H$2003,사용내역!$C$3:$C$2003,"부산",사용내역!$E$3:$E$2003,3,사용내역!$F$3:$F$2003,"근로자 건강관리비 등"),0)</f>
        <v>0</v>
      </c>
      <c r="F39" s="79">
        <f>IFERROR(SUMIFS(사용내역!$H$3:$H$2003,사용내역!$C$3:$C$2003,"부산",사용내역!$E$3:$E$2003,4,사용내역!$F$3:$F$2003,"근로자 건강관리비 등"),0)</f>
        <v>0</v>
      </c>
      <c r="G39" s="79">
        <f>IFERROR(SUMIFS(사용내역!$H$3:$H$2003,사용내역!$C$3:$C$2003,"부산",사용내역!$E$3:$E$2003,5,사용내역!$F$3:$F$2003,"근로자 건강관리비 등"),0)</f>
        <v>0</v>
      </c>
      <c r="H39" s="79">
        <f>IFERROR(SUMIFS(사용내역!$H$3:$H$2003,사용내역!$C$3:$C$2003,"부산",사용내역!$E$3:$E$2003,6,사용내역!$F$3:$F$2003,"근로자 건강관리비 등"),0)</f>
        <v>0</v>
      </c>
      <c r="I39" s="79">
        <f>IFERROR(SUMIFS(사용내역!$H$3:$H$2003,사용내역!$C$3:$C$2003,"부산",사용내역!$E$3:$E$2003,7,사용내역!$F$3:$F$2003,"근로자 건강관리비 등"),0)</f>
        <v>0</v>
      </c>
      <c r="J39" s="79">
        <f>IFERROR(SUMIFS(사용내역!$H$3:$H$2003,사용내역!$C$3:$C$2003,"부산",사용내역!$E$3:$E$2003,8,사용내역!$F$3:$F$2003,"근로자 건강관리비 등"),0)</f>
        <v>0</v>
      </c>
      <c r="K39" s="79">
        <f>IFERROR(SUMIFS(사용내역!$H$3:$H$2003,사용내역!$C$3:$C$2003,"부산",사용내역!$E$3:$E$2003,9,사용내역!$F$3:$F$2003,"근로자 건강관리비 등"),0)</f>
        <v>0</v>
      </c>
      <c r="L39" s="79">
        <f>IFERROR(SUMIFS(사용내역!$H$3:$H$2003,사용내역!$C$3:$C$2003,"부산",사용내역!$E$3:$E$2003,10,사용내역!$F$3:$F$2003,"근로자 건강관리비 등"),0)</f>
        <v>0</v>
      </c>
      <c r="M39" s="79">
        <f>IFERROR(SUMIFS(사용내역!$H$3:$H$2003,사용내역!$C$3:$C$2003,"부산",사용내역!$E$3:$E$2003,11,사용내역!$F$3:$F$2003,"근로자 건강관리비 등"),0)</f>
        <v>0</v>
      </c>
      <c r="N39" s="79">
        <f>IFERROR(SUMIFS(사용내역!$H$3:$H$2003,사용내역!$C$3:$C$2003,"부산",사용내역!$E$3:$E$2003,12,사용내역!$F$3:$F$2003,"근로자 건강관리비 등"),0)</f>
        <v>0</v>
      </c>
      <c r="O39" s="77">
        <f t="shared" si="6"/>
        <v>0</v>
      </c>
      <c r="P39" s="80">
        <f>IFERROR(COUNTIFS(사용내역!$C$3:$C$2003,"부산",사용내역!$F$3:$F$2003,"근로자 건강관리비 등",사용내역!$J$3:$J$2003,"Y"),0)</f>
        <v>0</v>
      </c>
    </row>
    <row r="40" spans="1:16" ht="16.5" customHeight="1">
      <c r="A40" s="123"/>
      <c r="B40" s="8" t="s">
        <v>11</v>
      </c>
      <c r="C40" s="76">
        <f>IFERROR(SUMIFS(사용내역!$H$3:$H$2003,사용내역!$C$3:$C$2003,"부산",사용내역!$E$3:$E$2003,1,사용내역!$F$3:$F$2003,"건설재해예방 기술지도비"),0)</f>
        <v>0</v>
      </c>
      <c r="D40" s="76">
        <f>IFERROR(SUMIFS(사용내역!$H$3:$H$2003,사용내역!$C$3:$C$2003,"부산",사용내역!$E$3:$E$2003,2,사용내역!$F$3:$F$2003,"건설재해예방 기술지도비"),0)</f>
        <v>0</v>
      </c>
      <c r="E40" s="76">
        <f>IFERROR(SUMIFS(사용내역!$H$3:$H$2003,사용내역!$C$3:$C$2003,"부산",사용내역!$E$3:$E$2003,3,사용내역!$F$3:$F$2003,"건설재해예방 기술지도비"),0)</f>
        <v>0</v>
      </c>
      <c r="F40" s="76">
        <f>IFERROR(SUMIFS(사용내역!$H$3:$H$2003,사용내역!$C$3:$C$2003,"부산",사용내역!$E$3:$E$2003,4,사용내역!$F$3:$F$2003,"건설재해예방 기술지도비"),0)</f>
        <v>0</v>
      </c>
      <c r="G40" s="76">
        <f>IFERROR(SUMIFS(사용내역!$H$3:$H$2003,사용내역!$C$3:$C$2003,"부산",사용내역!$E$3:$E$2003,5,사용내역!$F$3:$F$2003,"건설재해예방 기술지도비"),0)</f>
        <v>0</v>
      </c>
      <c r="H40" s="76">
        <f>IFERROR(SUMIFS(사용내역!$H$3:$H$2003,사용내역!$C$3:$C$2003,"부산",사용내역!$E$3:$E$2003,6,사용내역!$F$3:$F$2003,"건설재해예방 기술지도비"),0)</f>
        <v>0</v>
      </c>
      <c r="I40" s="76">
        <f>IFERROR(SUMIFS(사용내역!$H$3:$H$2003,사용내역!$C$3:$C$2003,"부산",사용내역!$E$3:$E$2003,7,사용내역!$F$3:$F$2003,"건설재해예방 기술지도비"),0)</f>
        <v>0</v>
      </c>
      <c r="J40" s="76">
        <f>IFERROR(SUMIFS(사용내역!$H$3:$H$2003,사용내역!$C$3:$C$2003,"부산",사용내역!$E$3:$E$2003,8,사용내역!$F$3:$F$2003,"건설재해예방 기술지도비"),0)</f>
        <v>0</v>
      </c>
      <c r="K40" s="76">
        <f>IFERROR(SUMIFS(사용내역!$H$3:$H$2003,사용내역!$C$3:$C$2003,"부산",사용내역!$E$3:$E$2003,9,사용내역!$F$3:$F$2003,"건설재해예방 기술지도비"),0)</f>
        <v>0</v>
      </c>
      <c r="L40" s="76">
        <f>IFERROR(SUMIFS(사용내역!$H$3:$H$2003,사용내역!$C$3:$C$2003,"부산",사용내역!$E$3:$E$2003,10,사용내역!$F$3:$F$2003,"건설재해예방 기술지도비"),0)</f>
        <v>0</v>
      </c>
      <c r="M40" s="76">
        <f>IFERROR(SUMIFS(사용내역!$H$3:$H$2003,사용내역!$C$3:$C$2003,"부산",사용내역!$E$3:$E$2003,11,사용내역!$F$3:$F$2003,"건설재해예방 기술지도비"),0)</f>
        <v>0</v>
      </c>
      <c r="N40" s="76">
        <f>IFERROR(SUMIFS(사용내역!$H$3:$H$2003,사용내역!$C$3:$C$2003,"부산",사용내역!$E$3:$E$2003,12,사용내역!$F$3:$F$2003,"건설재해예방 기술지도비"),0)</f>
        <v>0</v>
      </c>
      <c r="O40" s="77">
        <f t="shared" si="6"/>
        <v>0</v>
      </c>
      <c r="P40" s="78">
        <f>IFERROR(COUNTIFS(사용내역!$C$3:$C$2003,"부산",사용내역!$F$3:$F$2003,"건설재해예방 기술지도비",사용내역!$J$3:$J$2003,"Y"),0)</f>
        <v>0</v>
      </c>
    </row>
    <row r="41" spans="1:16" ht="16.5" customHeight="1">
      <c r="A41" s="123"/>
      <c r="B41" s="12" t="s">
        <v>12</v>
      </c>
      <c r="C41" s="79">
        <f>IFERROR(SUMIFS(사용내역!$H$3:$H$2003,사용내역!$C$3:$C$2003,"부산",사용내역!$E$3:$E$2003,1,사용내역!$F$3:$F$2003,"기타"),0)</f>
        <v>0</v>
      </c>
      <c r="D41" s="79">
        <f>IFERROR(SUMIFS(사용내역!$H$3:$H$2003,사용내역!$C$3:$C$2003,"부산",사용내역!$E$3:$E$2003,2,사용내역!$F$3:$F$2003,"기타"),0)</f>
        <v>0</v>
      </c>
      <c r="E41" s="79">
        <f>IFERROR(SUMIFS(사용내역!$H$3:$H$2003,사용내역!$C$3:$C$2003,"부산",사용내역!$E$3:$E$2003,3,사용내역!$F$3:$F$2003,"기타"),0)</f>
        <v>0</v>
      </c>
      <c r="F41" s="79">
        <f>IFERROR(SUMIFS(사용내역!$H$3:$H$2003,사용내역!$C$3:$C$2003,"부산",사용내역!$E$3:$E$2003,4,사용내역!$F$3:$F$2003,"기타"),0)</f>
        <v>0</v>
      </c>
      <c r="G41" s="79">
        <f>IFERROR(SUMIFS(사용내역!$H$3:$H$2003,사용내역!$C$3:$C$2003,"부산",사용내역!$E$3:$E$2003,5,사용내역!$F$3:$F$2003,"기타"),0)</f>
        <v>0</v>
      </c>
      <c r="H41" s="79">
        <f>IFERROR(SUMIFS(사용내역!$H$3:$H$2003,사용내역!$C$3:$C$2003,"부산",사용내역!$E$3:$E$2003,6,사용내역!$F$3:$F$2003,"기타"),0)</f>
        <v>0</v>
      </c>
      <c r="I41" s="79">
        <f>IFERROR(SUMIFS(사용내역!$H$3:$H$2003,사용내역!$C$3:$C$2003,"부산",사용내역!$E$3:$E$2003,7,사용내역!$F$3:$F$2003,"기타"),0)</f>
        <v>0</v>
      </c>
      <c r="J41" s="79">
        <f>IFERROR(SUMIFS(사용내역!$H$3:$H$2003,사용내역!$C$3:$C$2003,"부산",사용내역!$E$3:$E$2003,8,사용내역!$F$3:$F$2003,"기타"),0)</f>
        <v>0</v>
      </c>
      <c r="K41" s="79">
        <f>IFERROR(SUMIFS(사용내역!$H$3:$H$2003,사용내역!$C$3:$C$2003,"부산",사용내역!$E$3:$E$2003,9,사용내역!$F$3:$F$2003,"기타"),0)</f>
        <v>0</v>
      </c>
      <c r="L41" s="79">
        <f>IFERROR(SUMIFS(사용내역!$H$3:$H$2003,사용내역!$C$3:$C$2003,"부산",사용내역!$E$3:$E$2003,10,사용내역!$F$3:$F$2003,"기타"),0)</f>
        <v>0</v>
      </c>
      <c r="M41" s="79">
        <f>IFERROR(SUMIFS(사용내역!$H$3:$H$2003,사용내역!$C$3:$C$2003,"부산",사용내역!$E$3:$E$2003,11,사용내역!$F$3:$F$2003,"기타"),0)</f>
        <v>0</v>
      </c>
      <c r="N41" s="79">
        <f>IFERROR(SUMIFS(사용내역!$H$3:$H$2003,사용내역!$C$3:$C$2003,"부산",사용내역!$E$3:$E$2003,12,사용내역!$F$3:$F$2003,"기타"),0)</f>
        <v>0</v>
      </c>
      <c r="O41" s="77">
        <f t="shared" si="6"/>
        <v>0</v>
      </c>
      <c r="P41" s="80">
        <f>IFERROR(COUNTIFS(사용내역!$C$3:$C$2003,"부산",사용내역!$F$3:$F$2003,"기타",사용내역!$J$3:$J$2003,"Y"),0)</f>
        <v>0</v>
      </c>
    </row>
    <row r="42" spans="1:16" ht="16.5" customHeight="1">
      <c r="A42" s="123"/>
      <c r="B42" s="8" t="s">
        <v>13</v>
      </c>
      <c r="C42" s="76">
        <f>IFERROR(SUMIFS(사용내역!$H$3:$H$2003,사용내역!$C$3:$C$2003,"부산",사용내역!$E$3:$E$2003,1,사용내역!$F$3:$F$2003,"산보위·위험성평가 안건"),0)</f>
        <v>0</v>
      </c>
      <c r="D42" s="76">
        <f>IFERROR(SUMIFS(사용내역!$H$3:$H$2003,사용내역!$C$3:$C$2003,"부산",사용내역!$E$3:$E$2003,2,사용내역!$F$3:$F$2003,"산보위·위험성평가 안건"),0)</f>
        <v>0</v>
      </c>
      <c r="E42" s="76">
        <f>IFERROR(SUMIFS(사용내역!$H$3:$H$2003,사용내역!$C$3:$C$2003,"부산",사용내역!$E$3:$E$2003,3,사용내역!$F$3:$F$2003,"산보위·위험성평가 안건"),0)</f>
        <v>0</v>
      </c>
      <c r="F42" s="76">
        <f>IFERROR(SUMIFS(사용내역!$H$3:$H$2003,사용내역!$C$3:$C$2003,"부산",사용내역!$E$3:$E$2003,4,사용내역!$F$3:$F$2003,"산보위·위험성평가 안건"),0)</f>
        <v>0</v>
      </c>
      <c r="G42" s="76">
        <f>IFERROR(SUMIFS(사용내역!$H$3:$H$2003,사용내역!$C$3:$C$2003,"부산",사용내역!$E$3:$E$2003,5,사용내역!$F$3:$F$2003,"산보위·위험성평가 안건"),0)</f>
        <v>0</v>
      </c>
      <c r="H42" s="76">
        <f>IFERROR(SUMIFS(사용내역!$H$3:$H$2003,사용내역!$C$3:$C$2003,"부산",사용내역!$E$3:$E$2003,6,사용내역!$F$3:$F$2003,"산보위·위험성평가 안건"),0)</f>
        <v>0</v>
      </c>
      <c r="I42" s="76">
        <f>IFERROR(SUMIFS(사용내역!$H$3:$H$2003,사용내역!$C$3:$C$2003,"부산",사용내역!$E$3:$E$2003,7,사용내역!$F$3:$F$2003,"산보위·위험성평가 안건"),0)</f>
        <v>0</v>
      </c>
      <c r="J42" s="76">
        <f>IFERROR(SUMIFS(사용내역!$H$3:$H$2003,사용내역!$C$3:$C$2003,"부산",사용내역!$E$3:$E$2003,8,사용내역!$F$3:$F$2003,"산보위·위험성평가 안건"),0)</f>
        <v>0</v>
      </c>
      <c r="K42" s="76">
        <f>IFERROR(SUMIFS(사용내역!$H$3:$H$2003,사용내역!$C$3:$C$2003,"부산",사용내역!$E$3:$E$2003,9,사용내역!$F$3:$F$2003,"산보위·위험성평가 안건"),0)</f>
        <v>0</v>
      </c>
      <c r="L42" s="76">
        <f>IFERROR(SUMIFS(사용내역!$H$3:$H$2003,사용내역!$C$3:$C$2003,"부산",사용내역!$E$3:$E$2003,10,사용내역!$F$3:$F$2003,"산보위·위험성평가 안건"),0)</f>
        <v>0</v>
      </c>
      <c r="M42" s="76">
        <f>IFERROR(SUMIFS(사용내역!$H$3:$H$2003,사용내역!$C$3:$C$2003,"부산",사용내역!$E$3:$E$2003,11,사용내역!$F$3:$F$2003,"산보위·위험성평가 안건"),0)</f>
        <v>0</v>
      </c>
      <c r="N42" s="76">
        <f>IFERROR(SUMIFS(사용내역!$H$3:$H$2003,사용내역!$C$3:$C$2003,"부산",사용내역!$E$3:$E$2003,12,사용내역!$F$3:$F$2003,"산보위·위험성평가 안건"),0)</f>
        <v>0</v>
      </c>
      <c r="O42" s="77">
        <f t="shared" si="6"/>
        <v>0</v>
      </c>
      <c r="P42" s="78">
        <f>IFERROR(COUNTIFS(사용내역!$C$3:$C$2003,"부산",사용내역!$F$3:$F$2003,"산보위·위험성평가 안건",사용내역!$J$3:$J$2003,"Y"),0)</f>
        <v>0</v>
      </c>
    </row>
    <row r="43" spans="1:16" ht="19.5" customHeight="1">
      <c r="A43" s="124" t="s">
        <v>20</v>
      </c>
      <c r="B43" s="124"/>
      <c r="C43" s="85">
        <f t="shared" ref="C43:P43" si="7">SUM(C34:C42)</f>
        <v>0</v>
      </c>
      <c r="D43" s="85">
        <f t="shared" si="7"/>
        <v>0</v>
      </c>
      <c r="E43" s="85">
        <f t="shared" si="7"/>
        <v>0</v>
      </c>
      <c r="F43" s="85">
        <f t="shared" si="7"/>
        <v>0</v>
      </c>
      <c r="G43" s="85">
        <f t="shared" si="7"/>
        <v>0</v>
      </c>
      <c r="H43" s="85">
        <f t="shared" si="7"/>
        <v>0</v>
      </c>
      <c r="I43" s="85">
        <f t="shared" si="7"/>
        <v>0</v>
      </c>
      <c r="J43" s="85">
        <f t="shared" si="7"/>
        <v>0</v>
      </c>
      <c r="K43" s="85">
        <f t="shared" si="7"/>
        <v>0</v>
      </c>
      <c r="L43" s="85">
        <f t="shared" si="7"/>
        <v>0</v>
      </c>
      <c r="M43" s="85">
        <f t="shared" si="7"/>
        <v>0</v>
      </c>
      <c r="N43" s="85">
        <f t="shared" si="7"/>
        <v>0</v>
      </c>
      <c r="O43" s="85">
        <f t="shared" si="7"/>
        <v>0</v>
      </c>
      <c r="P43" s="86">
        <f t="shared" si="7"/>
        <v>0</v>
      </c>
    </row>
    <row r="44" spans="1:16" ht="16.5" customHeight="1">
      <c r="A44" s="123" t="s">
        <v>21</v>
      </c>
      <c r="B44" s="8" t="s">
        <v>5</v>
      </c>
      <c r="C44" s="76">
        <f>IFERROR(SUMIFS(사용내역!$H$3:$H$2003,사용내역!$C$3:$C$2003,"대구",사용내역!$E$3:$E$2003,1,사용내역!$F$3:$F$2003,"안전관리자 등 인건비"),0)</f>
        <v>2633400</v>
      </c>
      <c r="D44" s="76">
        <f>IFERROR(SUMIFS(사용내역!$H$3:$H$2003,사용내역!$C$3:$C$2003,"대구",사용내역!$E$3:$E$2003,2,사용내역!$F$3:$F$2003,"안전관리자 등 인건비"),0)</f>
        <v>2633400</v>
      </c>
      <c r="E44" s="76">
        <f>IFERROR(SUMIFS(사용내역!$H$3:$H$2003,사용내역!$C$3:$C$2003,"대구",사용내역!$E$3:$E$2003,3,사용내역!$F$3:$F$2003,"안전관리자 등 인건비"),0)</f>
        <v>2633400</v>
      </c>
      <c r="F44" s="76">
        <f>IFERROR(SUMIFS(사용내역!$H$3:$H$2003,사용내역!$C$3:$C$2003,"대구",사용내역!$E$3:$E$2003,4,사용내역!$F$3:$F$2003,"안전관리자 등 인건비"),0)</f>
        <v>2633400</v>
      </c>
      <c r="G44" s="76">
        <f>IFERROR(SUMIFS(사용내역!$H$3:$H$2003,사용내역!$C$3:$C$2003,"대구",사용내역!$E$3:$E$2003,5,사용내역!$F$3:$F$2003,"안전관리자 등 인건비"),0)</f>
        <v>2633400</v>
      </c>
      <c r="H44" s="76">
        <f>IFERROR(SUMIFS(사용내역!$H$3:$H$2003,사용내역!$C$3:$C$2003,"대구",사용내역!$E$3:$E$2003,6,사용내역!$F$3:$F$2003,"안전관리자 등 인건비"),0)</f>
        <v>1254000</v>
      </c>
      <c r="I44" s="76">
        <f>IFERROR(SUMIFS(사용내역!$H$3:$H$2003,사용내역!$C$3:$C$2003,"대구",사용내역!$E$3:$E$2003,7,사용내역!$F$3:$F$2003,"안전관리자 등 인건비"),0)</f>
        <v>0</v>
      </c>
      <c r="J44" s="76">
        <f>IFERROR(SUMIFS(사용내역!$H$3:$H$2003,사용내역!$C$3:$C$2003,"대구",사용내역!$E$3:$E$2003,8,사용내역!$F$3:$F$2003,"안전관리자 등 인건비"),0)</f>
        <v>0</v>
      </c>
      <c r="K44" s="76">
        <f>IFERROR(SUMIFS(사용내역!$H$3:$H$2003,사용내역!$C$3:$C$2003,"대구",사용내역!$E$3:$E$2003,9,사용내역!$F$3:$F$2003,"안전관리자 등 인건비"),0)</f>
        <v>0</v>
      </c>
      <c r="L44" s="76">
        <f>IFERROR(SUMIFS(사용내역!$H$3:$H$2003,사용내역!$C$3:$C$2003,"대구",사용내역!$E$3:$E$2003,10,사용내역!$F$3:$F$2003,"안전관리자 등 인건비"),0)</f>
        <v>0</v>
      </c>
      <c r="M44" s="76">
        <f>IFERROR(SUMIFS(사용내역!$H$3:$H$2003,사용내역!$C$3:$C$2003,"대구",사용내역!$E$3:$E$2003,11,사용내역!$F$3:$F$2003,"안전관리자 등 인건비"),0)</f>
        <v>0</v>
      </c>
      <c r="N44" s="76">
        <f>IFERROR(SUMIFS(사용내역!$H$3:$H$2003,사용내역!$C$3:$C$2003,"대구",사용내역!$E$3:$E$2003,12,사용내역!$F$3:$F$2003,"안전관리자 등 인건비"),0)</f>
        <v>0</v>
      </c>
      <c r="O44" s="77">
        <f t="shared" ref="O44:O52" si="8">SUM(C44:N44)</f>
        <v>14421000</v>
      </c>
      <c r="P44" s="78">
        <f>IFERROR(COUNTIFS(사용내역!$C$3:$C$2003,"대구",사용내역!$F$3:$F$2003,"안전관리자 등 인건비",사용내역!$J$3:$J$2003,"Y"),0)</f>
        <v>0</v>
      </c>
    </row>
    <row r="45" spans="1:16" ht="16.5" customHeight="1">
      <c r="A45" s="123"/>
      <c r="B45" s="12" t="s">
        <v>6</v>
      </c>
      <c r="C45" s="79">
        <f>IFERROR(SUMIFS(사용내역!$H$3:$H$2003,사용내역!$C$3:$C$2003,"대구",사용내역!$E$3:$E$2003,1,사용내역!$F$3:$F$2003,"안전시설비"),0)</f>
        <v>0</v>
      </c>
      <c r="D45" s="79">
        <f>IFERROR(SUMIFS(사용내역!$H$3:$H$2003,사용내역!$C$3:$C$2003,"대구",사용내역!$E$3:$E$2003,2,사용내역!$F$3:$F$2003,"안전시설비"),0)</f>
        <v>0</v>
      </c>
      <c r="E45" s="79">
        <f>IFERROR(SUMIFS(사용내역!$H$3:$H$2003,사용내역!$C$3:$C$2003,"대구",사용내역!$E$3:$E$2003,3,사용내역!$F$3:$F$2003,"안전시설비"),0)</f>
        <v>0</v>
      </c>
      <c r="F45" s="79">
        <f>IFERROR(SUMIFS(사용내역!$H$3:$H$2003,사용내역!$C$3:$C$2003,"대구",사용내역!$E$3:$E$2003,4,사용내역!$F$3:$F$2003,"안전시설비"),0)</f>
        <v>0</v>
      </c>
      <c r="G45" s="79">
        <f>IFERROR(SUMIFS(사용내역!$H$3:$H$2003,사용내역!$C$3:$C$2003,"대구",사용내역!$E$3:$E$2003,5,사용내역!$F$3:$F$2003,"안전시설비"),0)</f>
        <v>0</v>
      </c>
      <c r="H45" s="79">
        <f>IFERROR(SUMIFS(사용내역!$H$3:$H$2003,사용내역!$C$3:$C$2003,"대구",사용내역!$E$3:$E$2003,6,사용내역!$F$3:$F$2003,"안전시설비"),0)</f>
        <v>0</v>
      </c>
      <c r="I45" s="79">
        <f>IFERROR(SUMIFS(사용내역!$H$3:$H$2003,사용내역!$C$3:$C$2003,"대구",사용내역!$E$3:$E$2003,7,사용내역!$F$3:$F$2003,"안전시설비"),0)</f>
        <v>0</v>
      </c>
      <c r="J45" s="79">
        <f>IFERROR(SUMIFS(사용내역!$H$3:$H$2003,사용내역!$C$3:$C$2003,"대구",사용내역!$E$3:$E$2003,8,사용내역!$F$3:$F$2003,"안전시설비"),0)</f>
        <v>0</v>
      </c>
      <c r="K45" s="79">
        <f>IFERROR(SUMIFS(사용내역!$H$3:$H$2003,사용내역!$C$3:$C$2003,"대구",사용내역!$E$3:$E$2003,9,사용내역!$F$3:$F$2003,"안전시설비"),0)</f>
        <v>0</v>
      </c>
      <c r="L45" s="79">
        <f>IFERROR(SUMIFS(사용내역!$H$3:$H$2003,사용내역!$C$3:$C$2003,"대구",사용내역!$E$3:$E$2003,10,사용내역!$F$3:$F$2003,"안전시설비"),0)</f>
        <v>0</v>
      </c>
      <c r="M45" s="79">
        <f>IFERROR(SUMIFS(사용내역!$H$3:$H$2003,사용내역!$C$3:$C$2003,"대구",사용내역!$E$3:$E$2003,11,사용내역!$F$3:$F$2003,"안전시설비"),0)</f>
        <v>0</v>
      </c>
      <c r="N45" s="79">
        <f>IFERROR(SUMIFS(사용내역!$H$3:$H$2003,사용내역!$C$3:$C$2003,"대구",사용내역!$E$3:$E$2003,12,사용내역!$F$3:$F$2003,"안전시설비"),0)</f>
        <v>0</v>
      </c>
      <c r="O45" s="77">
        <f t="shared" si="8"/>
        <v>0</v>
      </c>
      <c r="P45" s="80">
        <f>IFERROR(COUNTIFS(사용내역!$C$3:$C$2003,"대구",사용내역!$F$3:$F$2003,"안전시설비",사용내역!$J$3:$J$2003,"Y"),0)</f>
        <v>0</v>
      </c>
    </row>
    <row r="46" spans="1:16" ht="16.5" customHeight="1">
      <c r="A46" s="123"/>
      <c r="B46" s="8" t="s">
        <v>7</v>
      </c>
      <c r="C46" s="76">
        <f>IFERROR(SUMIFS(사용내역!$H$3:$H$2003,사용내역!$C$3:$C$2003,"대구",사용내역!$E$3:$E$2003,1,사용내역!$F$3:$F$2003,"보호구·안전용품"),0)</f>
        <v>0</v>
      </c>
      <c r="D46" s="76">
        <f>IFERROR(SUMIFS(사용내역!$H$3:$H$2003,사용내역!$C$3:$C$2003,"대구",사용내역!$E$3:$E$2003,2,사용내역!$F$3:$F$2003,"보호구·안전용품"),0)</f>
        <v>2430000</v>
      </c>
      <c r="E46" s="76">
        <f>IFERROR(SUMIFS(사용내역!$H$3:$H$2003,사용내역!$C$3:$C$2003,"대구",사용내역!$E$3:$E$2003,3,사용내역!$F$3:$F$2003,"보호구·안전용품"),0)</f>
        <v>383240</v>
      </c>
      <c r="F46" s="76">
        <f>IFERROR(SUMIFS(사용내역!$H$3:$H$2003,사용내역!$C$3:$C$2003,"대구",사용내역!$E$3:$E$2003,4,사용내역!$F$3:$F$2003,"보호구·안전용품"),0)</f>
        <v>741100</v>
      </c>
      <c r="G46" s="76">
        <f>IFERROR(SUMIFS(사용내역!$H$3:$H$2003,사용내역!$C$3:$C$2003,"대구",사용내역!$E$3:$E$2003,5,사용내역!$F$3:$F$2003,"보호구·안전용품"),0)</f>
        <v>775000</v>
      </c>
      <c r="H46" s="76">
        <f>IFERROR(SUMIFS(사용내역!$H$3:$H$2003,사용내역!$C$3:$C$2003,"대구",사용내역!$E$3:$E$2003,6,사용내역!$F$3:$F$2003,"보호구·안전용품"),0)</f>
        <v>1510200</v>
      </c>
      <c r="I46" s="76">
        <f>IFERROR(SUMIFS(사용내역!$H$3:$H$2003,사용내역!$C$3:$C$2003,"대구",사용내역!$E$3:$E$2003,7,사용내역!$F$3:$F$2003,"보호구·안전용품"),0)</f>
        <v>0</v>
      </c>
      <c r="J46" s="76">
        <f>IFERROR(SUMIFS(사용내역!$H$3:$H$2003,사용내역!$C$3:$C$2003,"대구",사용내역!$E$3:$E$2003,8,사용내역!$F$3:$F$2003,"보호구·안전용품"),0)</f>
        <v>0</v>
      </c>
      <c r="K46" s="76">
        <f>IFERROR(SUMIFS(사용내역!$H$3:$H$2003,사용내역!$C$3:$C$2003,"대구",사용내역!$E$3:$E$2003,9,사용내역!$F$3:$F$2003,"보호구·안전용품"),0)</f>
        <v>0</v>
      </c>
      <c r="L46" s="76">
        <f>IFERROR(SUMIFS(사용내역!$H$3:$H$2003,사용내역!$C$3:$C$2003,"대구",사용내역!$E$3:$E$2003,10,사용내역!$F$3:$F$2003,"보호구·안전용품"),0)</f>
        <v>0</v>
      </c>
      <c r="M46" s="76">
        <f>IFERROR(SUMIFS(사용내역!$H$3:$H$2003,사용내역!$C$3:$C$2003,"대구",사용내역!$E$3:$E$2003,11,사용내역!$F$3:$F$2003,"보호구·안전용품"),0)</f>
        <v>0</v>
      </c>
      <c r="N46" s="76">
        <f>IFERROR(SUMIFS(사용내역!$H$3:$H$2003,사용내역!$C$3:$C$2003,"대구",사용내역!$E$3:$E$2003,12,사용내역!$F$3:$F$2003,"보호구·안전용품"),0)</f>
        <v>0</v>
      </c>
      <c r="O46" s="77">
        <f t="shared" si="8"/>
        <v>5839540</v>
      </c>
      <c r="P46" s="78">
        <f>IFERROR(COUNTIFS(사용내역!$C$3:$C$2003,"대구",사용내역!$F$3:$F$2003,"보호구·안전용품",사용내역!$J$3:$J$2003,"Y"),0)</f>
        <v>0</v>
      </c>
    </row>
    <row r="47" spans="1:16" ht="16.5" customHeight="1">
      <c r="A47" s="123"/>
      <c r="B47" s="12" t="s">
        <v>8</v>
      </c>
      <c r="C47" s="79">
        <f>IFERROR(SUMIFS(사용내역!$H$3:$H$2003,사용내역!$C$3:$C$2003,"대구",사용내역!$E$3:$E$2003,1,사용내역!$F$3:$F$2003,"안전진단비"),0)</f>
        <v>0</v>
      </c>
      <c r="D47" s="79">
        <f>IFERROR(SUMIFS(사용내역!$H$3:$H$2003,사용내역!$C$3:$C$2003,"대구",사용내역!$E$3:$E$2003,2,사용내역!$F$3:$F$2003,"안전진단비"),0)</f>
        <v>0</v>
      </c>
      <c r="E47" s="79">
        <f>IFERROR(SUMIFS(사용내역!$H$3:$H$2003,사용내역!$C$3:$C$2003,"대구",사용내역!$E$3:$E$2003,3,사용내역!$F$3:$F$2003,"안전진단비"),0)</f>
        <v>0</v>
      </c>
      <c r="F47" s="79">
        <f>IFERROR(SUMIFS(사용내역!$H$3:$H$2003,사용내역!$C$3:$C$2003,"대구",사용내역!$E$3:$E$2003,4,사용내역!$F$3:$F$2003,"안전진단비"),0)</f>
        <v>0</v>
      </c>
      <c r="G47" s="79">
        <f>IFERROR(SUMIFS(사용내역!$H$3:$H$2003,사용내역!$C$3:$C$2003,"대구",사용내역!$E$3:$E$2003,5,사용내역!$F$3:$F$2003,"안전진단비"),0)</f>
        <v>0</v>
      </c>
      <c r="H47" s="79">
        <f>IFERROR(SUMIFS(사용내역!$H$3:$H$2003,사용내역!$C$3:$C$2003,"대구",사용내역!$E$3:$E$2003,6,사용내역!$F$3:$F$2003,"안전진단비"),0)</f>
        <v>0</v>
      </c>
      <c r="I47" s="79">
        <f>IFERROR(SUMIFS(사용내역!$H$3:$H$2003,사용내역!$C$3:$C$2003,"대구",사용내역!$E$3:$E$2003,7,사용내역!$F$3:$F$2003,"안전진단비"),0)</f>
        <v>0</v>
      </c>
      <c r="J47" s="79">
        <f>IFERROR(SUMIFS(사용내역!$H$3:$H$2003,사용내역!$C$3:$C$2003,"대구",사용내역!$E$3:$E$2003,8,사용내역!$F$3:$F$2003,"안전진단비"),0)</f>
        <v>0</v>
      </c>
      <c r="K47" s="79">
        <f>IFERROR(SUMIFS(사용내역!$H$3:$H$2003,사용내역!$C$3:$C$2003,"대구",사용내역!$E$3:$E$2003,9,사용내역!$F$3:$F$2003,"안전진단비"),0)</f>
        <v>0</v>
      </c>
      <c r="L47" s="79">
        <f>IFERROR(SUMIFS(사용내역!$H$3:$H$2003,사용내역!$C$3:$C$2003,"대구",사용내역!$E$3:$E$2003,10,사용내역!$F$3:$F$2003,"안전진단비"),0)</f>
        <v>0</v>
      </c>
      <c r="M47" s="79">
        <f>IFERROR(SUMIFS(사용내역!$H$3:$H$2003,사용내역!$C$3:$C$2003,"대구",사용내역!$E$3:$E$2003,11,사용내역!$F$3:$F$2003,"안전진단비"),0)</f>
        <v>0</v>
      </c>
      <c r="N47" s="79">
        <f>IFERROR(SUMIFS(사용내역!$H$3:$H$2003,사용내역!$C$3:$C$2003,"대구",사용내역!$E$3:$E$2003,12,사용내역!$F$3:$F$2003,"안전진단비"),0)</f>
        <v>0</v>
      </c>
      <c r="O47" s="77">
        <f t="shared" si="8"/>
        <v>0</v>
      </c>
      <c r="P47" s="80">
        <f>IFERROR(COUNTIFS(사용내역!$C$3:$C$2003,"대구",사용내역!$F$3:$F$2003,"안전진단비",사용내역!$J$3:$J$2003,"Y"),0)</f>
        <v>0</v>
      </c>
    </row>
    <row r="48" spans="1:16" ht="16.5" customHeight="1">
      <c r="A48" s="123"/>
      <c r="B48" s="8" t="s">
        <v>9</v>
      </c>
      <c r="C48" s="76">
        <f>IFERROR(SUMIFS(사용내역!$H$3:$H$2003,사용내역!$C$3:$C$2003,"대구",사용내역!$E$3:$E$2003,1,사용내역!$F$3:$F$2003,"안전보건교육비·행사비 등"),0)</f>
        <v>0</v>
      </c>
      <c r="D48" s="76">
        <f>IFERROR(SUMIFS(사용내역!$H$3:$H$2003,사용내역!$C$3:$C$2003,"대구",사용내역!$E$3:$E$2003,2,사용내역!$F$3:$F$2003,"안전보건교육비·행사비 등"),0)</f>
        <v>0</v>
      </c>
      <c r="E48" s="76">
        <f>IFERROR(SUMIFS(사용내역!$H$3:$H$2003,사용내역!$C$3:$C$2003,"대구",사용내역!$E$3:$E$2003,3,사용내역!$F$3:$F$2003,"안전보건교육비·행사비 등"),0)</f>
        <v>120000</v>
      </c>
      <c r="F48" s="76">
        <f>IFERROR(SUMIFS(사용내역!$H$3:$H$2003,사용내역!$C$3:$C$2003,"대구",사용내역!$E$3:$E$2003,4,사용내역!$F$3:$F$2003,"안전보건교육비·행사비 등"),0)</f>
        <v>150000</v>
      </c>
      <c r="G48" s="76">
        <f>IFERROR(SUMIFS(사용내역!$H$3:$H$2003,사용내역!$C$3:$C$2003,"대구",사용내역!$E$3:$E$2003,5,사용내역!$F$3:$F$2003,"안전보건교육비·행사비 등"),0)</f>
        <v>270000</v>
      </c>
      <c r="H48" s="76">
        <f>IFERROR(SUMIFS(사용내역!$H$3:$H$2003,사용내역!$C$3:$C$2003,"대구",사용내역!$E$3:$E$2003,6,사용내역!$F$3:$F$2003,"안전보건교육비·행사비 등"),0)</f>
        <v>0</v>
      </c>
      <c r="I48" s="76">
        <f>IFERROR(SUMIFS(사용내역!$H$3:$H$2003,사용내역!$C$3:$C$2003,"대구",사용내역!$E$3:$E$2003,7,사용내역!$F$3:$F$2003,"안전보건교육비·행사비 등"),0)</f>
        <v>0</v>
      </c>
      <c r="J48" s="76">
        <f>IFERROR(SUMIFS(사용내역!$H$3:$H$2003,사용내역!$C$3:$C$2003,"대구",사용내역!$E$3:$E$2003,8,사용내역!$F$3:$F$2003,"안전보건교육비·행사비 등"),0)</f>
        <v>0</v>
      </c>
      <c r="K48" s="76">
        <f>IFERROR(SUMIFS(사용내역!$H$3:$H$2003,사용내역!$C$3:$C$2003,"대구",사용내역!$E$3:$E$2003,9,사용내역!$F$3:$F$2003,"안전보건교육비·행사비 등"),0)</f>
        <v>0</v>
      </c>
      <c r="L48" s="76">
        <f>IFERROR(SUMIFS(사용내역!$H$3:$H$2003,사용내역!$C$3:$C$2003,"대구",사용내역!$E$3:$E$2003,10,사용내역!$F$3:$F$2003,"안전보건교육비·행사비 등"),0)</f>
        <v>0</v>
      </c>
      <c r="M48" s="76">
        <f>IFERROR(SUMIFS(사용내역!$H$3:$H$2003,사용내역!$C$3:$C$2003,"대구",사용내역!$E$3:$E$2003,11,사용내역!$F$3:$F$2003,"안전보건교육비·행사비 등"),0)</f>
        <v>0</v>
      </c>
      <c r="N48" s="76">
        <f>IFERROR(SUMIFS(사용내역!$H$3:$H$2003,사용내역!$C$3:$C$2003,"대구",사용내역!$E$3:$E$2003,12,사용내역!$F$3:$F$2003,"안전보건교육비·행사비 등"),0)</f>
        <v>0</v>
      </c>
      <c r="O48" s="77">
        <f t="shared" si="8"/>
        <v>540000</v>
      </c>
      <c r="P48" s="78">
        <f>IFERROR(COUNTIFS(사용내역!$C$3:$C$2003,"대구",사용내역!$F$3:$F$2003,"안전보건교육비·행사비 등",사용내역!$J$3:$J$2003,"Y"),0)</f>
        <v>0</v>
      </c>
    </row>
    <row r="49" spans="1:16" ht="16.5" customHeight="1">
      <c r="A49" s="123"/>
      <c r="B49" s="12" t="s">
        <v>10</v>
      </c>
      <c r="C49" s="79">
        <f>IFERROR(SUMIFS(사용내역!$H$3:$H$2003,사용내역!$C$3:$C$2003,"대구",사용내역!$E$3:$E$2003,1,사용내역!$F$3:$F$2003,"근로자 건강관리비 등"),0)</f>
        <v>0</v>
      </c>
      <c r="D49" s="79">
        <f>IFERROR(SUMIFS(사용내역!$H$3:$H$2003,사용내역!$C$3:$C$2003,"대구",사용내역!$E$3:$E$2003,2,사용내역!$F$3:$F$2003,"근로자 건강관리비 등"),0)</f>
        <v>0</v>
      </c>
      <c r="E49" s="79">
        <f>IFERROR(SUMIFS(사용내역!$H$3:$H$2003,사용내역!$C$3:$C$2003,"대구",사용내역!$E$3:$E$2003,3,사용내역!$F$3:$F$2003,"근로자 건강관리비 등"),0)</f>
        <v>0</v>
      </c>
      <c r="F49" s="79">
        <f>IFERROR(SUMIFS(사용내역!$H$3:$H$2003,사용내역!$C$3:$C$2003,"대구",사용내역!$E$3:$E$2003,4,사용내역!$F$3:$F$2003,"근로자 건강관리비 등"),0)</f>
        <v>0</v>
      </c>
      <c r="G49" s="79">
        <f>IFERROR(SUMIFS(사용내역!$H$3:$H$2003,사용내역!$C$3:$C$2003,"대구",사용내역!$E$3:$E$2003,5,사용내역!$F$3:$F$2003,"근로자 건강관리비 등"),0)</f>
        <v>0</v>
      </c>
      <c r="H49" s="79">
        <f>IFERROR(SUMIFS(사용내역!$H$3:$H$2003,사용내역!$C$3:$C$2003,"대구",사용내역!$E$3:$E$2003,6,사용내역!$F$3:$F$2003,"근로자 건강관리비 등"),0)</f>
        <v>0</v>
      </c>
      <c r="I49" s="79">
        <f>IFERROR(SUMIFS(사용내역!$H$3:$H$2003,사용내역!$C$3:$C$2003,"대구",사용내역!$E$3:$E$2003,7,사용내역!$F$3:$F$2003,"근로자 건강관리비 등"),0)</f>
        <v>0</v>
      </c>
      <c r="J49" s="79">
        <f>IFERROR(SUMIFS(사용내역!$H$3:$H$2003,사용내역!$C$3:$C$2003,"대구",사용내역!$E$3:$E$2003,8,사용내역!$F$3:$F$2003,"근로자 건강관리비 등"),0)</f>
        <v>0</v>
      </c>
      <c r="K49" s="79">
        <f>IFERROR(SUMIFS(사용내역!$H$3:$H$2003,사용내역!$C$3:$C$2003,"대구",사용내역!$E$3:$E$2003,9,사용내역!$F$3:$F$2003,"근로자 건강관리비 등"),0)</f>
        <v>0</v>
      </c>
      <c r="L49" s="79">
        <f>IFERROR(SUMIFS(사용내역!$H$3:$H$2003,사용내역!$C$3:$C$2003,"대구",사용내역!$E$3:$E$2003,10,사용내역!$F$3:$F$2003,"근로자 건강관리비 등"),0)</f>
        <v>0</v>
      </c>
      <c r="M49" s="79">
        <f>IFERROR(SUMIFS(사용내역!$H$3:$H$2003,사용내역!$C$3:$C$2003,"대구",사용내역!$E$3:$E$2003,11,사용내역!$F$3:$F$2003,"근로자 건강관리비 등"),0)</f>
        <v>0</v>
      </c>
      <c r="N49" s="79">
        <f>IFERROR(SUMIFS(사용내역!$H$3:$H$2003,사용내역!$C$3:$C$2003,"대구",사용내역!$E$3:$E$2003,12,사용내역!$F$3:$F$2003,"근로자 건강관리비 등"),0)</f>
        <v>0</v>
      </c>
      <c r="O49" s="77">
        <f t="shared" si="8"/>
        <v>0</v>
      </c>
      <c r="P49" s="80">
        <f>IFERROR(COUNTIFS(사용내역!$C$3:$C$2003,"대구",사용내역!$F$3:$F$2003,"근로자 건강관리비 등",사용내역!$J$3:$J$2003,"Y"),0)</f>
        <v>0</v>
      </c>
    </row>
    <row r="50" spans="1:16" ht="16.5" customHeight="1">
      <c r="A50" s="123"/>
      <c r="B50" s="8" t="s">
        <v>11</v>
      </c>
      <c r="C50" s="76">
        <f>IFERROR(SUMIFS(사용내역!$H$3:$H$2003,사용내역!$C$3:$C$2003,"대구",사용내역!$E$3:$E$2003,1,사용내역!$F$3:$F$2003,"건설재해예방 기술지도비"),0)</f>
        <v>0</v>
      </c>
      <c r="D50" s="76">
        <f>IFERROR(SUMIFS(사용내역!$H$3:$H$2003,사용내역!$C$3:$C$2003,"대구",사용내역!$E$3:$E$2003,2,사용내역!$F$3:$F$2003,"건설재해예방 기술지도비"),0)</f>
        <v>0</v>
      </c>
      <c r="E50" s="76">
        <f>IFERROR(SUMIFS(사용내역!$H$3:$H$2003,사용내역!$C$3:$C$2003,"대구",사용내역!$E$3:$E$2003,3,사용내역!$F$3:$F$2003,"건설재해예방 기술지도비"),0)</f>
        <v>0</v>
      </c>
      <c r="F50" s="76">
        <f>IFERROR(SUMIFS(사용내역!$H$3:$H$2003,사용내역!$C$3:$C$2003,"대구",사용내역!$E$3:$E$2003,4,사용내역!$F$3:$F$2003,"건설재해예방 기술지도비"),0)</f>
        <v>0</v>
      </c>
      <c r="G50" s="76">
        <f>IFERROR(SUMIFS(사용내역!$H$3:$H$2003,사용내역!$C$3:$C$2003,"대구",사용내역!$E$3:$E$2003,5,사용내역!$F$3:$F$2003,"건설재해예방 기술지도비"),0)</f>
        <v>0</v>
      </c>
      <c r="H50" s="76">
        <f>IFERROR(SUMIFS(사용내역!$H$3:$H$2003,사용내역!$C$3:$C$2003,"대구",사용내역!$E$3:$E$2003,6,사용내역!$F$3:$F$2003,"건설재해예방 기술지도비"),0)</f>
        <v>0</v>
      </c>
      <c r="I50" s="76">
        <f>IFERROR(SUMIFS(사용내역!$H$3:$H$2003,사용내역!$C$3:$C$2003,"대구",사용내역!$E$3:$E$2003,7,사용내역!$F$3:$F$2003,"건설재해예방 기술지도비"),0)</f>
        <v>0</v>
      </c>
      <c r="J50" s="76">
        <f>IFERROR(SUMIFS(사용내역!$H$3:$H$2003,사용내역!$C$3:$C$2003,"대구",사용내역!$E$3:$E$2003,8,사용내역!$F$3:$F$2003,"건설재해예방 기술지도비"),0)</f>
        <v>0</v>
      </c>
      <c r="K50" s="76">
        <f>IFERROR(SUMIFS(사용내역!$H$3:$H$2003,사용내역!$C$3:$C$2003,"대구",사용내역!$E$3:$E$2003,9,사용내역!$F$3:$F$2003,"건설재해예방 기술지도비"),0)</f>
        <v>0</v>
      </c>
      <c r="L50" s="76">
        <f>IFERROR(SUMIFS(사용내역!$H$3:$H$2003,사용내역!$C$3:$C$2003,"대구",사용내역!$E$3:$E$2003,10,사용내역!$F$3:$F$2003,"건설재해예방 기술지도비"),0)</f>
        <v>0</v>
      </c>
      <c r="M50" s="76">
        <f>IFERROR(SUMIFS(사용내역!$H$3:$H$2003,사용내역!$C$3:$C$2003,"대구",사용내역!$E$3:$E$2003,11,사용내역!$F$3:$F$2003,"건설재해예방 기술지도비"),0)</f>
        <v>0</v>
      </c>
      <c r="N50" s="76">
        <f>IFERROR(SUMIFS(사용내역!$H$3:$H$2003,사용내역!$C$3:$C$2003,"대구",사용내역!$E$3:$E$2003,12,사용내역!$F$3:$F$2003,"건설재해예방 기술지도비"),0)</f>
        <v>0</v>
      </c>
      <c r="O50" s="77">
        <f t="shared" si="8"/>
        <v>0</v>
      </c>
      <c r="P50" s="78">
        <f>IFERROR(COUNTIFS(사용내역!$C$3:$C$2003,"대구",사용내역!$F$3:$F$2003,"건설재해예방 기술지도비",사용내역!$J$3:$J$2003,"Y"),0)</f>
        <v>0</v>
      </c>
    </row>
    <row r="51" spans="1:16" ht="16.5" customHeight="1">
      <c r="A51" s="123"/>
      <c r="B51" s="12" t="s">
        <v>12</v>
      </c>
      <c r="C51" s="79">
        <f>IFERROR(SUMIFS(사용내역!$H$3:$H$2003,사용내역!$C$3:$C$2003,"대구",사용내역!$E$3:$E$2003,1,사용내역!$F$3:$F$2003,"기타"),0)</f>
        <v>0</v>
      </c>
      <c r="D51" s="79">
        <f>IFERROR(SUMIFS(사용내역!$H$3:$H$2003,사용내역!$C$3:$C$2003,"대구",사용내역!$E$3:$E$2003,2,사용내역!$F$3:$F$2003,"기타"),0)</f>
        <v>0</v>
      </c>
      <c r="E51" s="79">
        <f>IFERROR(SUMIFS(사용내역!$H$3:$H$2003,사용내역!$C$3:$C$2003,"대구",사용내역!$E$3:$E$2003,3,사용내역!$F$3:$F$2003,"기타"),0)</f>
        <v>0</v>
      </c>
      <c r="F51" s="79">
        <f>IFERROR(SUMIFS(사용내역!$H$3:$H$2003,사용내역!$C$3:$C$2003,"대구",사용내역!$E$3:$E$2003,4,사용내역!$F$3:$F$2003,"기타"),0)</f>
        <v>0</v>
      </c>
      <c r="G51" s="79">
        <f>IFERROR(SUMIFS(사용내역!$H$3:$H$2003,사용내역!$C$3:$C$2003,"대구",사용내역!$E$3:$E$2003,5,사용내역!$F$3:$F$2003,"기타"),0)</f>
        <v>0</v>
      </c>
      <c r="H51" s="79">
        <f>IFERROR(SUMIFS(사용내역!$H$3:$H$2003,사용내역!$C$3:$C$2003,"대구",사용내역!$E$3:$E$2003,6,사용내역!$F$3:$F$2003,"기타"),0)</f>
        <v>0</v>
      </c>
      <c r="I51" s="79">
        <f>IFERROR(SUMIFS(사용내역!$H$3:$H$2003,사용내역!$C$3:$C$2003,"대구",사용내역!$E$3:$E$2003,7,사용내역!$F$3:$F$2003,"기타"),0)</f>
        <v>0</v>
      </c>
      <c r="J51" s="79">
        <f>IFERROR(SUMIFS(사용내역!$H$3:$H$2003,사용내역!$C$3:$C$2003,"대구",사용내역!$E$3:$E$2003,8,사용내역!$F$3:$F$2003,"기타"),0)</f>
        <v>0</v>
      </c>
      <c r="K51" s="79">
        <f>IFERROR(SUMIFS(사용내역!$H$3:$H$2003,사용내역!$C$3:$C$2003,"대구",사용내역!$E$3:$E$2003,9,사용내역!$F$3:$F$2003,"기타"),0)</f>
        <v>0</v>
      </c>
      <c r="L51" s="79">
        <f>IFERROR(SUMIFS(사용내역!$H$3:$H$2003,사용내역!$C$3:$C$2003,"대구",사용내역!$E$3:$E$2003,10,사용내역!$F$3:$F$2003,"기타"),0)</f>
        <v>0</v>
      </c>
      <c r="M51" s="79">
        <f>IFERROR(SUMIFS(사용내역!$H$3:$H$2003,사용내역!$C$3:$C$2003,"대구",사용내역!$E$3:$E$2003,11,사용내역!$F$3:$F$2003,"기타"),0)</f>
        <v>0</v>
      </c>
      <c r="N51" s="79">
        <f>IFERROR(SUMIFS(사용내역!$H$3:$H$2003,사용내역!$C$3:$C$2003,"대구",사용내역!$E$3:$E$2003,12,사용내역!$F$3:$F$2003,"기타"),0)</f>
        <v>0</v>
      </c>
      <c r="O51" s="77">
        <f t="shared" si="8"/>
        <v>0</v>
      </c>
      <c r="P51" s="80">
        <f>IFERROR(COUNTIFS(사용내역!$C$3:$C$2003,"대구",사용내역!$F$3:$F$2003,"기타",사용내역!$J$3:$J$2003,"Y"),0)</f>
        <v>0</v>
      </c>
    </row>
    <row r="52" spans="1:16" ht="16.5" customHeight="1">
      <c r="A52" s="123"/>
      <c r="B52" s="8" t="s">
        <v>13</v>
      </c>
      <c r="C52" s="76">
        <f>IFERROR(SUMIFS(사용내역!$H$3:$H$2003,사용내역!$C$3:$C$2003,"대구",사용내역!$E$3:$E$2003,1,사용내역!$F$3:$F$2003,"산보위·위험성평가 안건"),0)</f>
        <v>0</v>
      </c>
      <c r="D52" s="76">
        <f>IFERROR(SUMIFS(사용내역!$H$3:$H$2003,사용내역!$C$3:$C$2003,"대구",사용내역!$E$3:$E$2003,2,사용내역!$F$3:$F$2003,"산보위·위험성평가 안건"),0)</f>
        <v>0</v>
      </c>
      <c r="E52" s="76">
        <f>IFERROR(SUMIFS(사용내역!$H$3:$H$2003,사용내역!$C$3:$C$2003,"대구",사용내역!$E$3:$E$2003,3,사용내역!$F$3:$F$2003,"산보위·위험성평가 안건"),0)</f>
        <v>0</v>
      </c>
      <c r="F52" s="76">
        <f>IFERROR(SUMIFS(사용내역!$H$3:$H$2003,사용내역!$C$3:$C$2003,"대구",사용내역!$E$3:$E$2003,4,사용내역!$F$3:$F$2003,"산보위·위험성평가 안건"),0)</f>
        <v>3682800</v>
      </c>
      <c r="G52" s="76">
        <f>IFERROR(SUMIFS(사용내역!$H$3:$H$2003,사용내역!$C$3:$C$2003,"대구",사용내역!$E$3:$E$2003,5,사용내역!$F$3:$F$2003,"산보위·위험성평가 안건"),0)</f>
        <v>0</v>
      </c>
      <c r="H52" s="76">
        <f>IFERROR(SUMIFS(사용내역!$H$3:$H$2003,사용내역!$C$3:$C$2003,"대구",사용내역!$E$3:$E$2003,6,사용내역!$F$3:$F$2003,"산보위·위험성평가 안건"),0)</f>
        <v>0</v>
      </c>
      <c r="I52" s="76">
        <f>IFERROR(SUMIFS(사용내역!$H$3:$H$2003,사용내역!$C$3:$C$2003,"대구",사용내역!$E$3:$E$2003,7,사용내역!$F$3:$F$2003,"산보위·위험성평가 안건"),0)</f>
        <v>0</v>
      </c>
      <c r="J52" s="76">
        <f>IFERROR(SUMIFS(사용내역!$H$3:$H$2003,사용내역!$C$3:$C$2003,"대구",사용내역!$E$3:$E$2003,8,사용내역!$F$3:$F$2003,"산보위·위험성평가 안건"),0)</f>
        <v>0</v>
      </c>
      <c r="K52" s="76">
        <f>IFERROR(SUMIFS(사용내역!$H$3:$H$2003,사용내역!$C$3:$C$2003,"대구",사용내역!$E$3:$E$2003,9,사용내역!$F$3:$F$2003,"산보위·위험성평가 안건"),0)</f>
        <v>0</v>
      </c>
      <c r="L52" s="76">
        <f>IFERROR(SUMIFS(사용내역!$H$3:$H$2003,사용내역!$C$3:$C$2003,"대구",사용내역!$E$3:$E$2003,10,사용내역!$F$3:$F$2003,"산보위·위험성평가 안건"),0)</f>
        <v>0</v>
      </c>
      <c r="M52" s="76">
        <f>IFERROR(SUMIFS(사용내역!$H$3:$H$2003,사용내역!$C$3:$C$2003,"대구",사용내역!$E$3:$E$2003,11,사용내역!$F$3:$F$2003,"산보위·위험성평가 안건"),0)</f>
        <v>0</v>
      </c>
      <c r="N52" s="76">
        <f>IFERROR(SUMIFS(사용내역!$H$3:$H$2003,사용내역!$C$3:$C$2003,"대구",사용내역!$E$3:$E$2003,12,사용내역!$F$3:$F$2003,"산보위·위험성평가 안건"),0)</f>
        <v>0</v>
      </c>
      <c r="O52" s="77">
        <f t="shared" si="8"/>
        <v>3682800</v>
      </c>
      <c r="P52" s="78">
        <f>IFERROR(COUNTIFS(사용내역!$C$3:$C$2003,"대구",사용내역!$F$3:$F$2003,"산보위·위험성평가 안건",사용내역!$J$3:$J$2003,"Y"),0)</f>
        <v>0</v>
      </c>
    </row>
    <row r="53" spans="1:16" ht="19.5" customHeight="1">
      <c r="A53" s="124" t="s">
        <v>22</v>
      </c>
      <c r="B53" s="124"/>
      <c r="C53" s="85">
        <f t="shared" ref="C53:P53" si="9">SUM(C44:C52)</f>
        <v>2633400</v>
      </c>
      <c r="D53" s="85">
        <f t="shared" si="9"/>
        <v>5063400</v>
      </c>
      <c r="E53" s="85">
        <f t="shared" si="9"/>
        <v>3136640</v>
      </c>
      <c r="F53" s="85">
        <f t="shared" si="9"/>
        <v>7207300</v>
      </c>
      <c r="G53" s="85">
        <f t="shared" si="9"/>
        <v>3678400</v>
      </c>
      <c r="H53" s="85">
        <f t="shared" si="9"/>
        <v>2764200</v>
      </c>
      <c r="I53" s="85">
        <f t="shared" si="9"/>
        <v>0</v>
      </c>
      <c r="J53" s="85">
        <f t="shared" si="9"/>
        <v>0</v>
      </c>
      <c r="K53" s="85">
        <f t="shared" si="9"/>
        <v>0</v>
      </c>
      <c r="L53" s="85">
        <f t="shared" si="9"/>
        <v>0</v>
      </c>
      <c r="M53" s="85">
        <f t="shared" si="9"/>
        <v>0</v>
      </c>
      <c r="N53" s="85">
        <f t="shared" si="9"/>
        <v>0</v>
      </c>
      <c r="O53" s="85">
        <f t="shared" si="9"/>
        <v>24483340</v>
      </c>
      <c r="P53" s="86">
        <f t="shared" si="9"/>
        <v>0</v>
      </c>
    </row>
    <row r="54" spans="1:16" ht="24" hidden="1" customHeight="1">
      <c r="A54" s="125" t="s">
        <v>23</v>
      </c>
      <c r="B54" s="125"/>
      <c r="C54" s="81">
        <f t="shared" ref="C54:P54" si="10">C13+C23+C33+C43+C53</f>
        <v>2633400</v>
      </c>
      <c r="D54" s="81">
        <f t="shared" si="10"/>
        <v>5063400</v>
      </c>
      <c r="E54" s="81">
        <f t="shared" si="10"/>
        <v>3136640</v>
      </c>
      <c r="F54" s="81">
        <f t="shared" si="10"/>
        <v>7207300</v>
      </c>
      <c r="G54" s="81">
        <f t="shared" si="10"/>
        <v>3678400</v>
      </c>
      <c r="H54" s="81">
        <f t="shared" si="10"/>
        <v>2764200</v>
      </c>
      <c r="I54" s="81">
        <f t="shared" si="10"/>
        <v>0</v>
      </c>
      <c r="J54" s="81">
        <f t="shared" si="10"/>
        <v>0</v>
      </c>
      <c r="K54" s="81">
        <f t="shared" si="10"/>
        <v>0</v>
      </c>
      <c r="L54" s="81">
        <f t="shared" si="10"/>
        <v>0</v>
      </c>
      <c r="M54" s="81">
        <f t="shared" si="10"/>
        <v>0</v>
      </c>
      <c r="N54" s="81">
        <f t="shared" si="10"/>
        <v>0</v>
      </c>
      <c r="O54" s="81">
        <f t="shared" si="10"/>
        <v>24483340</v>
      </c>
      <c r="P54" s="82">
        <f t="shared" si="10"/>
        <v>0</v>
      </c>
    </row>
  </sheetData>
  <mergeCells count="13">
    <mergeCell ref="A1:P1"/>
    <mergeCell ref="A2:P2"/>
    <mergeCell ref="A4:A12"/>
    <mergeCell ref="A13:B13"/>
    <mergeCell ref="A14:A22"/>
    <mergeCell ref="A44:A52"/>
    <mergeCell ref="A53:B53"/>
    <mergeCell ref="A54:B54"/>
    <mergeCell ref="A23:B23"/>
    <mergeCell ref="A24:A32"/>
    <mergeCell ref="A33:B33"/>
    <mergeCell ref="A34:A42"/>
    <mergeCell ref="A43:B43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showGridLines="0" topLeftCell="A25" zoomScaleNormal="100" workbookViewId="0">
      <selection activeCell="B61" sqref="B61"/>
    </sheetView>
  </sheetViews>
  <sheetFormatPr defaultColWidth="8.5" defaultRowHeight="16.5"/>
  <cols>
    <col min="1" max="1" width="14" style="1" customWidth="1"/>
    <col min="2" max="2" width="26" style="1" customWidth="1"/>
    <col min="3" max="7" width="16" style="1" customWidth="1"/>
  </cols>
  <sheetData>
    <row r="1" spans="1:7" ht="36" customHeight="1">
      <c r="A1" s="126" t="s">
        <v>65</v>
      </c>
      <c r="B1" s="126"/>
      <c r="C1" s="126"/>
      <c r="D1" s="126"/>
      <c r="E1" s="126"/>
      <c r="F1" s="126"/>
      <c r="G1" s="5"/>
    </row>
    <row r="2" spans="1:7" ht="21.75" customHeight="1" thickBot="1">
      <c r="A2" s="130" t="s">
        <v>24</v>
      </c>
      <c r="B2" s="130"/>
      <c r="C2" s="130"/>
      <c r="D2" s="130"/>
      <c r="E2" s="130"/>
      <c r="F2" s="130"/>
      <c r="G2"/>
    </row>
    <row r="3" spans="1:7" ht="24" customHeight="1" thickBot="1">
      <c r="A3" s="71" t="s">
        <v>0</v>
      </c>
      <c r="B3" s="71" t="s">
        <v>1</v>
      </c>
      <c r="C3" s="71" t="s">
        <v>25</v>
      </c>
      <c r="D3" s="71" t="s">
        <v>26</v>
      </c>
      <c r="E3" s="71" t="s">
        <v>27</v>
      </c>
      <c r="F3" s="71" t="s">
        <v>28</v>
      </c>
    </row>
    <row r="4" spans="1:7" ht="16.5" customHeight="1">
      <c r="A4" s="123" t="s">
        <v>4</v>
      </c>
      <c r="B4" s="8" t="s">
        <v>5</v>
      </c>
      <c r="C4" s="72">
        <f>E4+D4</f>
        <v>0</v>
      </c>
      <c r="D4" s="73">
        <v>0</v>
      </c>
      <c r="E4" s="73">
        <v>0</v>
      </c>
      <c r="F4" s="8"/>
    </row>
    <row r="5" spans="1:7" ht="16.5" customHeight="1">
      <c r="A5" s="123"/>
      <c r="B5" s="74" t="s">
        <v>6</v>
      </c>
      <c r="C5" s="72">
        <f t="shared" ref="C5:C12" si="0">E5+D5</f>
        <v>0</v>
      </c>
      <c r="D5" s="73">
        <v>0</v>
      </c>
      <c r="E5" s="73">
        <v>0</v>
      </c>
      <c r="F5" s="74"/>
    </row>
    <row r="6" spans="1:7" ht="16.5" customHeight="1">
      <c r="A6" s="123"/>
      <c r="B6" s="8" t="s">
        <v>7</v>
      </c>
      <c r="C6" s="72">
        <f t="shared" si="0"/>
        <v>0</v>
      </c>
      <c r="D6" s="73">
        <v>0</v>
      </c>
      <c r="E6" s="73">
        <v>0</v>
      </c>
      <c r="F6" s="8"/>
    </row>
    <row r="7" spans="1:7" ht="16.5" customHeight="1">
      <c r="A7" s="123"/>
      <c r="B7" s="74" t="s">
        <v>8</v>
      </c>
      <c r="C7" s="72">
        <f t="shared" si="0"/>
        <v>0</v>
      </c>
      <c r="D7" s="73">
        <v>0</v>
      </c>
      <c r="E7" s="73">
        <v>0</v>
      </c>
      <c r="F7" s="74"/>
    </row>
    <row r="8" spans="1:7" ht="16.5" customHeight="1">
      <c r="A8" s="123"/>
      <c r="B8" s="8" t="s">
        <v>9</v>
      </c>
      <c r="C8" s="72">
        <f t="shared" si="0"/>
        <v>0</v>
      </c>
      <c r="D8" s="73">
        <v>0</v>
      </c>
      <c r="E8" s="73">
        <v>0</v>
      </c>
      <c r="F8" s="8"/>
    </row>
    <row r="9" spans="1:7" ht="16.5" customHeight="1">
      <c r="A9" s="123"/>
      <c r="B9" s="74" t="s">
        <v>10</v>
      </c>
      <c r="C9" s="72">
        <f t="shared" si="0"/>
        <v>0</v>
      </c>
      <c r="D9" s="73">
        <v>0</v>
      </c>
      <c r="E9" s="73">
        <v>0</v>
      </c>
      <c r="F9" s="74"/>
    </row>
    <row r="10" spans="1:7" ht="16.5" customHeight="1">
      <c r="A10" s="123"/>
      <c r="B10" s="8" t="s">
        <v>11</v>
      </c>
      <c r="C10" s="72">
        <f t="shared" si="0"/>
        <v>0</v>
      </c>
      <c r="D10" s="73">
        <v>0</v>
      </c>
      <c r="E10" s="73">
        <v>0</v>
      </c>
      <c r="F10" s="8"/>
    </row>
    <row r="11" spans="1:7" ht="16.5" customHeight="1">
      <c r="A11" s="123"/>
      <c r="B11" s="74" t="s">
        <v>12</v>
      </c>
      <c r="C11" s="72">
        <f t="shared" si="0"/>
        <v>0</v>
      </c>
      <c r="D11" s="73">
        <v>0</v>
      </c>
      <c r="E11" s="73">
        <v>0</v>
      </c>
      <c r="F11" s="74"/>
    </row>
    <row r="12" spans="1:7" ht="16.5" customHeight="1">
      <c r="A12" s="123"/>
      <c r="B12" s="8" t="s">
        <v>13</v>
      </c>
      <c r="C12" s="72">
        <f t="shared" si="0"/>
        <v>0</v>
      </c>
      <c r="D12" s="73">
        <v>0</v>
      </c>
      <c r="E12" s="73">
        <v>0</v>
      </c>
      <c r="F12" s="8"/>
    </row>
    <row r="13" spans="1:7" ht="19.5" customHeight="1">
      <c r="A13" s="128" t="s">
        <v>14</v>
      </c>
      <c r="B13" s="128"/>
      <c r="C13" s="75">
        <f>SUM(C4:C12)</f>
        <v>0</v>
      </c>
      <c r="D13" s="75">
        <f>SUM(D4:D12)</f>
        <v>0</v>
      </c>
      <c r="E13" s="75">
        <f>SUM(E4:E12)</f>
        <v>0</v>
      </c>
      <c r="F13" s="6"/>
    </row>
    <row r="14" spans="1:7" ht="16.5" customHeight="1">
      <c r="A14" s="123" t="s">
        <v>15</v>
      </c>
      <c r="B14" s="8" t="s">
        <v>5</v>
      </c>
      <c r="C14" s="72">
        <f>SUM(D14:E14)</f>
        <v>0</v>
      </c>
      <c r="D14" s="73">
        <v>0</v>
      </c>
      <c r="E14" s="73">
        <v>0</v>
      </c>
      <c r="F14" s="8"/>
    </row>
    <row r="15" spans="1:7" ht="16.5" customHeight="1">
      <c r="A15" s="123"/>
      <c r="B15" s="74" t="s">
        <v>6</v>
      </c>
      <c r="C15" s="72">
        <f t="shared" ref="C15:C22" si="1">SUM(D15:E15)</f>
        <v>0</v>
      </c>
      <c r="D15" s="73">
        <v>0</v>
      </c>
      <c r="E15" s="73">
        <v>0</v>
      </c>
      <c r="F15" s="74"/>
    </row>
    <row r="16" spans="1:7" ht="16.5" customHeight="1">
      <c r="A16" s="123"/>
      <c r="B16" s="8" t="s">
        <v>7</v>
      </c>
      <c r="C16" s="72">
        <f t="shared" si="1"/>
        <v>0</v>
      </c>
      <c r="D16" s="73">
        <v>0</v>
      </c>
      <c r="E16" s="73">
        <v>0</v>
      </c>
      <c r="F16" s="8"/>
    </row>
    <row r="17" spans="1:6" ht="16.5" customHeight="1">
      <c r="A17" s="123"/>
      <c r="B17" s="74" t="s">
        <v>8</v>
      </c>
      <c r="C17" s="72">
        <f t="shared" si="1"/>
        <v>0</v>
      </c>
      <c r="D17" s="73">
        <v>0</v>
      </c>
      <c r="E17" s="73">
        <v>0</v>
      </c>
      <c r="F17" s="74"/>
    </row>
    <row r="18" spans="1:6" ht="16.5" customHeight="1">
      <c r="A18" s="123"/>
      <c r="B18" s="8" t="s">
        <v>9</v>
      </c>
      <c r="C18" s="72">
        <f t="shared" si="1"/>
        <v>0</v>
      </c>
      <c r="D18" s="73">
        <v>0</v>
      </c>
      <c r="E18" s="73">
        <v>0</v>
      </c>
      <c r="F18" s="8"/>
    </row>
    <row r="19" spans="1:6" ht="16.5" customHeight="1">
      <c r="A19" s="123"/>
      <c r="B19" s="74" t="s">
        <v>10</v>
      </c>
      <c r="C19" s="72">
        <f t="shared" si="1"/>
        <v>0</v>
      </c>
      <c r="D19" s="73">
        <v>0</v>
      </c>
      <c r="E19" s="73">
        <v>0</v>
      </c>
      <c r="F19" s="74"/>
    </row>
    <row r="20" spans="1:6" ht="16.5" customHeight="1">
      <c r="A20" s="123"/>
      <c r="B20" s="8" t="s">
        <v>11</v>
      </c>
      <c r="C20" s="72">
        <f t="shared" si="1"/>
        <v>0</v>
      </c>
      <c r="D20" s="73">
        <v>0</v>
      </c>
      <c r="E20" s="73">
        <v>0</v>
      </c>
      <c r="F20" s="8"/>
    </row>
    <row r="21" spans="1:6" ht="16.5" customHeight="1">
      <c r="A21" s="123"/>
      <c r="B21" s="74" t="s">
        <v>12</v>
      </c>
      <c r="C21" s="72">
        <f t="shared" si="1"/>
        <v>0</v>
      </c>
      <c r="D21" s="73">
        <v>0</v>
      </c>
      <c r="E21" s="73">
        <v>0</v>
      </c>
      <c r="F21" s="74"/>
    </row>
    <row r="22" spans="1:6" ht="16.5" customHeight="1">
      <c r="A22" s="123"/>
      <c r="B22" s="8" t="s">
        <v>13</v>
      </c>
      <c r="C22" s="72">
        <f t="shared" si="1"/>
        <v>0</v>
      </c>
      <c r="D22" s="73">
        <v>0</v>
      </c>
      <c r="E22" s="73">
        <v>0</v>
      </c>
      <c r="F22" s="8"/>
    </row>
    <row r="23" spans="1:6" ht="19.5" customHeight="1">
      <c r="A23" s="128" t="s">
        <v>16</v>
      </c>
      <c r="B23" s="128"/>
      <c r="C23" s="75">
        <f>SUM(C14:C22)</f>
        <v>0</v>
      </c>
      <c r="D23" s="75">
        <f>SUM(D14:D22)</f>
        <v>0</v>
      </c>
      <c r="E23" s="75">
        <f>SUM(E14:E22)</f>
        <v>0</v>
      </c>
      <c r="F23" s="6"/>
    </row>
    <row r="24" spans="1:6" ht="16.5" customHeight="1">
      <c r="A24" s="123" t="s">
        <v>17</v>
      </c>
      <c r="B24" s="8" t="s">
        <v>5</v>
      </c>
      <c r="C24" s="72">
        <f>SUM(D24:E24)</f>
        <v>0</v>
      </c>
      <c r="D24" s="73">
        <v>0</v>
      </c>
      <c r="E24" s="73">
        <v>0</v>
      </c>
      <c r="F24" s="8"/>
    </row>
    <row r="25" spans="1:6" ht="16.5" customHeight="1">
      <c r="A25" s="123"/>
      <c r="B25" s="74" t="s">
        <v>6</v>
      </c>
      <c r="C25" s="72">
        <f t="shared" ref="C25:C32" si="2">SUM(D25:E25)</f>
        <v>0</v>
      </c>
      <c r="D25" s="73">
        <v>0</v>
      </c>
      <c r="E25" s="73">
        <v>0</v>
      </c>
      <c r="F25" s="74"/>
    </row>
    <row r="26" spans="1:6" ht="16.5" customHeight="1">
      <c r="A26" s="123"/>
      <c r="B26" s="8" t="s">
        <v>7</v>
      </c>
      <c r="C26" s="72">
        <f t="shared" si="2"/>
        <v>0</v>
      </c>
      <c r="D26" s="73">
        <v>0</v>
      </c>
      <c r="E26" s="73">
        <v>0</v>
      </c>
      <c r="F26" s="8"/>
    </row>
    <row r="27" spans="1:6" ht="16.5" customHeight="1">
      <c r="A27" s="123"/>
      <c r="B27" s="74" t="s">
        <v>8</v>
      </c>
      <c r="C27" s="72">
        <f t="shared" si="2"/>
        <v>0</v>
      </c>
      <c r="D27" s="73">
        <v>0</v>
      </c>
      <c r="E27" s="73">
        <v>0</v>
      </c>
      <c r="F27" s="74"/>
    </row>
    <row r="28" spans="1:6" ht="16.5" customHeight="1">
      <c r="A28" s="123"/>
      <c r="B28" s="8" t="s">
        <v>9</v>
      </c>
      <c r="C28" s="72">
        <f t="shared" si="2"/>
        <v>0</v>
      </c>
      <c r="D28" s="73">
        <v>0</v>
      </c>
      <c r="E28" s="73">
        <v>0</v>
      </c>
      <c r="F28" s="8"/>
    </row>
    <row r="29" spans="1:6" ht="16.5" customHeight="1">
      <c r="A29" s="123"/>
      <c r="B29" s="74" t="s">
        <v>10</v>
      </c>
      <c r="C29" s="72">
        <f t="shared" si="2"/>
        <v>0</v>
      </c>
      <c r="D29" s="73">
        <v>0</v>
      </c>
      <c r="E29" s="73">
        <v>0</v>
      </c>
      <c r="F29" s="74"/>
    </row>
    <row r="30" spans="1:6" ht="16.5" customHeight="1">
      <c r="A30" s="123"/>
      <c r="B30" s="8" t="s">
        <v>11</v>
      </c>
      <c r="C30" s="72">
        <v>5</v>
      </c>
      <c r="D30" s="73">
        <v>0</v>
      </c>
      <c r="E30" s="73">
        <v>0</v>
      </c>
      <c r="F30" s="8"/>
    </row>
    <row r="31" spans="1:6" ht="16.5" customHeight="1">
      <c r="A31" s="123"/>
      <c r="B31" s="74" t="s">
        <v>12</v>
      </c>
      <c r="C31" s="72">
        <f t="shared" si="2"/>
        <v>0</v>
      </c>
      <c r="D31" s="73">
        <v>0</v>
      </c>
      <c r="E31" s="73">
        <v>0</v>
      </c>
      <c r="F31" s="74"/>
    </row>
    <row r="32" spans="1:6" ht="16.5" customHeight="1">
      <c r="A32" s="123"/>
      <c r="B32" s="8" t="s">
        <v>13</v>
      </c>
      <c r="C32" s="72">
        <f t="shared" si="2"/>
        <v>0</v>
      </c>
      <c r="D32" s="73">
        <v>0</v>
      </c>
      <c r="E32" s="73">
        <v>0</v>
      </c>
      <c r="F32" s="8"/>
    </row>
    <row r="33" spans="1:6" ht="19.5" customHeight="1">
      <c r="A33" s="128" t="s">
        <v>18</v>
      </c>
      <c r="B33" s="128"/>
      <c r="C33" s="75">
        <v>0</v>
      </c>
      <c r="D33" s="75">
        <f>SUM(D24:D32)</f>
        <v>0</v>
      </c>
      <c r="E33" s="75">
        <f>SUM(E24:E32)</f>
        <v>0</v>
      </c>
      <c r="F33" s="6"/>
    </row>
    <row r="34" spans="1:6" ht="16.5" customHeight="1">
      <c r="A34" s="123" t="s">
        <v>19</v>
      </c>
      <c r="B34" s="8" t="s">
        <v>5</v>
      </c>
      <c r="C34" s="72">
        <f>SUM(D34:E34)</f>
        <v>0</v>
      </c>
      <c r="D34" s="73">
        <v>0</v>
      </c>
      <c r="E34" s="73">
        <v>0</v>
      </c>
      <c r="F34" s="8"/>
    </row>
    <row r="35" spans="1:6" ht="16.5" customHeight="1">
      <c r="A35" s="123"/>
      <c r="B35" s="74" t="s">
        <v>6</v>
      </c>
      <c r="C35" s="72">
        <f t="shared" ref="C35:C42" si="3">SUM(D35:E35)</f>
        <v>0</v>
      </c>
      <c r="D35" s="73">
        <v>0</v>
      </c>
      <c r="E35" s="73">
        <v>0</v>
      </c>
      <c r="F35" s="74"/>
    </row>
    <row r="36" spans="1:6" ht="16.5" customHeight="1">
      <c r="A36" s="123"/>
      <c r="B36" s="8" t="s">
        <v>7</v>
      </c>
      <c r="C36" s="72">
        <f t="shared" si="3"/>
        <v>0</v>
      </c>
      <c r="D36" s="73">
        <v>0</v>
      </c>
      <c r="E36" s="73">
        <v>0</v>
      </c>
      <c r="F36" s="8"/>
    </row>
    <row r="37" spans="1:6" ht="16.5" customHeight="1">
      <c r="A37" s="123"/>
      <c r="B37" s="74" t="s">
        <v>8</v>
      </c>
      <c r="C37" s="72">
        <f t="shared" si="3"/>
        <v>0</v>
      </c>
      <c r="D37" s="73">
        <v>0</v>
      </c>
      <c r="E37" s="73">
        <v>0</v>
      </c>
      <c r="F37" s="74"/>
    </row>
    <row r="38" spans="1:6" ht="16.5" customHeight="1">
      <c r="A38" s="123"/>
      <c r="B38" s="8" t="s">
        <v>9</v>
      </c>
      <c r="C38" s="72">
        <f t="shared" si="3"/>
        <v>0</v>
      </c>
      <c r="D38" s="73">
        <v>0</v>
      </c>
      <c r="E38" s="73">
        <v>0</v>
      </c>
      <c r="F38" s="8"/>
    </row>
    <row r="39" spans="1:6" ht="16.5" customHeight="1">
      <c r="A39" s="123"/>
      <c r="B39" s="74" t="s">
        <v>10</v>
      </c>
      <c r="C39" s="72">
        <f t="shared" si="3"/>
        <v>0</v>
      </c>
      <c r="D39" s="73">
        <v>0</v>
      </c>
      <c r="E39" s="73">
        <v>0</v>
      </c>
      <c r="F39" s="74"/>
    </row>
    <row r="40" spans="1:6" ht="16.5" customHeight="1">
      <c r="A40" s="123"/>
      <c r="B40" s="8" t="s">
        <v>11</v>
      </c>
      <c r="C40" s="72">
        <f t="shared" si="3"/>
        <v>0</v>
      </c>
      <c r="D40" s="73">
        <v>0</v>
      </c>
      <c r="E40" s="73">
        <v>0</v>
      </c>
      <c r="F40" s="8"/>
    </row>
    <row r="41" spans="1:6" ht="16.5" customHeight="1">
      <c r="A41" s="123"/>
      <c r="B41" s="74" t="s">
        <v>12</v>
      </c>
      <c r="C41" s="72">
        <f t="shared" si="3"/>
        <v>0</v>
      </c>
      <c r="D41" s="73">
        <v>0</v>
      </c>
      <c r="E41" s="73">
        <v>0</v>
      </c>
      <c r="F41" s="74"/>
    </row>
    <row r="42" spans="1:6" ht="16.5" customHeight="1">
      <c r="A42" s="123"/>
      <c r="B42" s="8" t="s">
        <v>13</v>
      </c>
      <c r="C42" s="72">
        <f t="shared" si="3"/>
        <v>0</v>
      </c>
      <c r="D42" s="73">
        <v>0</v>
      </c>
      <c r="E42" s="73">
        <v>0</v>
      </c>
      <c r="F42" s="8"/>
    </row>
    <row r="43" spans="1:6" ht="19.5" customHeight="1">
      <c r="A43" s="128" t="s">
        <v>20</v>
      </c>
      <c r="B43" s="128"/>
      <c r="C43" s="75">
        <f>SUM(C34:C42)</f>
        <v>0</v>
      </c>
      <c r="D43" s="75">
        <f>SUM(D34:D42)</f>
        <v>0</v>
      </c>
      <c r="E43" s="75">
        <f>SUM(E34:E42)</f>
        <v>0</v>
      </c>
      <c r="F43" s="6"/>
    </row>
    <row r="44" spans="1:6" ht="16.5" customHeight="1">
      <c r="A44" s="123" t="s">
        <v>21</v>
      </c>
      <c r="B44" s="8" t="s">
        <v>5</v>
      </c>
      <c r="C44" s="72">
        <f>SUM(D44:E44)</f>
        <v>0</v>
      </c>
      <c r="D44" s="73">
        <v>0</v>
      </c>
      <c r="E44" s="73">
        <v>0</v>
      </c>
      <c r="F44" s="8"/>
    </row>
    <row r="45" spans="1:6" ht="16.5" customHeight="1">
      <c r="A45" s="123"/>
      <c r="B45" s="74" t="s">
        <v>6</v>
      </c>
      <c r="C45" s="72">
        <f t="shared" ref="C45:C52" si="4">SUM(D45:E45)</f>
        <v>0</v>
      </c>
      <c r="D45" s="73">
        <v>0</v>
      </c>
      <c r="E45" s="73">
        <v>0</v>
      </c>
      <c r="F45" s="74"/>
    </row>
    <row r="46" spans="1:6" ht="16.5" customHeight="1">
      <c r="A46" s="123"/>
      <c r="B46" s="8" t="s">
        <v>7</v>
      </c>
      <c r="C46" s="72">
        <f t="shared" si="4"/>
        <v>40000000</v>
      </c>
      <c r="D46" s="73">
        <v>40000000</v>
      </c>
      <c r="E46" s="73">
        <v>0</v>
      </c>
      <c r="F46" s="8"/>
    </row>
    <row r="47" spans="1:6" ht="16.5" customHeight="1">
      <c r="A47" s="123"/>
      <c r="B47" s="74" t="s">
        <v>8</v>
      </c>
      <c r="C47" s="72">
        <f t="shared" si="4"/>
        <v>0</v>
      </c>
      <c r="D47" s="73">
        <v>0</v>
      </c>
      <c r="E47" s="73">
        <v>0</v>
      </c>
      <c r="F47" s="74"/>
    </row>
    <row r="48" spans="1:6" ht="16.5" customHeight="1">
      <c r="A48" s="123"/>
      <c r="B48" s="8" t="s">
        <v>9</v>
      </c>
      <c r="C48" s="72">
        <f t="shared" si="4"/>
        <v>0</v>
      </c>
      <c r="D48" s="73">
        <v>0</v>
      </c>
      <c r="E48" s="73">
        <v>0</v>
      </c>
      <c r="F48" s="8"/>
    </row>
    <row r="49" spans="1:6" ht="16.5" customHeight="1">
      <c r="A49" s="123"/>
      <c r="B49" s="74" t="s">
        <v>10</v>
      </c>
      <c r="C49" s="72">
        <f t="shared" si="4"/>
        <v>0</v>
      </c>
      <c r="D49" s="73">
        <v>0</v>
      </c>
      <c r="E49" s="73">
        <v>0</v>
      </c>
      <c r="F49" s="74"/>
    </row>
    <row r="50" spans="1:6" ht="16.5" customHeight="1">
      <c r="A50" s="123"/>
      <c r="B50" s="8" t="s">
        <v>11</v>
      </c>
      <c r="C50" s="72">
        <f t="shared" si="4"/>
        <v>0</v>
      </c>
      <c r="D50" s="73">
        <v>0</v>
      </c>
      <c r="E50" s="73">
        <v>0</v>
      </c>
      <c r="F50" s="8"/>
    </row>
    <row r="51" spans="1:6" ht="16.5" customHeight="1">
      <c r="A51" s="123"/>
      <c r="B51" s="74" t="s">
        <v>12</v>
      </c>
      <c r="C51" s="72">
        <f t="shared" si="4"/>
        <v>0</v>
      </c>
      <c r="D51" s="73">
        <v>0</v>
      </c>
      <c r="E51" s="73">
        <v>0</v>
      </c>
      <c r="F51" s="74"/>
    </row>
    <row r="52" spans="1:6" ht="16.5" customHeight="1">
      <c r="A52" s="123"/>
      <c r="B52" s="8" t="s">
        <v>13</v>
      </c>
      <c r="C52" s="72">
        <f t="shared" si="4"/>
        <v>0</v>
      </c>
      <c r="D52" s="73">
        <v>0</v>
      </c>
      <c r="E52" s="73">
        <v>0</v>
      </c>
      <c r="F52" s="8"/>
    </row>
    <row r="53" spans="1:6" ht="19.5" customHeight="1" thickBot="1">
      <c r="A53" s="128" t="s">
        <v>22</v>
      </c>
      <c r="B53" s="128"/>
      <c r="C53" s="75">
        <f>SUM(C44:C52)</f>
        <v>40000000</v>
      </c>
      <c r="D53" s="75">
        <f>SUM(D44:D52)</f>
        <v>40000000</v>
      </c>
      <c r="E53" s="75">
        <f>SUM(E44:E52)</f>
        <v>0</v>
      </c>
      <c r="F53" s="6"/>
    </row>
    <row r="54" spans="1:6" ht="24" hidden="1" customHeight="1">
      <c r="A54" s="129" t="s">
        <v>23</v>
      </c>
      <c r="B54" s="129"/>
      <c r="C54" s="17">
        <f>C13+C23+C33+C43+C53</f>
        <v>40000000</v>
      </c>
      <c r="D54" s="17">
        <f>D13+D23+D33+D43+D53</f>
        <v>40000000</v>
      </c>
      <c r="E54" s="17">
        <f>E13+E23+E33+E43+E53</f>
        <v>0</v>
      </c>
      <c r="F54" s="6"/>
    </row>
  </sheetData>
  <mergeCells count="13">
    <mergeCell ref="A44:A52"/>
    <mergeCell ref="A53:B53"/>
    <mergeCell ref="A54:B54"/>
    <mergeCell ref="A1:F1"/>
    <mergeCell ref="A2:F2"/>
    <mergeCell ref="A23:B23"/>
    <mergeCell ref="A24:A32"/>
    <mergeCell ref="A33:B33"/>
    <mergeCell ref="A34:A42"/>
    <mergeCell ref="A43:B43"/>
    <mergeCell ref="A4:A12"/>
    <mergeCell ref="A13:B13"/>
    <mergeCell ref="A14:A22"/>
  </mergeCells>
  <phoneticPr fontId="3" type="noConversion"/>
  <pageMargins left="0.75" right="0.75" top="1" bottom="1" header="0.511811023622047" footer="0.511811023622047"/>
  <pageSetup paperSize="9" orientation="portrait" horizontalDpi="300" verticalDpi="300"/>
  <ignoredErrors>
    <ignoredError sqref="C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5"/>
  <sheetViews>
    <sheetView showGridLines="0" topLeftCell="A34" zoomScaleNormal="100" workbookViewId="0">
      <selection activeCell="E47" sqref="E47"/>
    </sheetView>
  </sheetViews>
  <sheetFormatPr defaultColWidth="8.5" defaultRowHeight="16.5"/>
  <cols>
    <col min="1" max="1" width="14" style="1" customWidth="1"/>
    <col min="2" max="2" width="26" style="1" customWidth="1"/>
    <col min="3" max="5" width="14" style="1" customWidth="1"/>
    <col min="6" max="6" width="11" style="1" customWidth="1"/>
    <col min="7" max="18" width="10" style="1" hidden="1" customWidth="1"/>
    <col min="19" max="19" width="10" style="1" customWidth="1"/>
  </cols>
  <sheetData>
    <row r="1" spans="1:18" ht="36" customHeight="1">
      <c r="A1" s="126" t="s">
        <v>66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spans="1:18" ht="19.5" customHeight="1">
      <c r="A2" s="127" t="s">
        <v>61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</row>
    <row r="3" spans="1:18" ht="19.5" customHeight="1">
      <c r="A3" s="131" t="s">
        <v>0</v>
      </c>
      <c r="B3" s="131" t="s">
        <v>1</v>
      </c>
      <c r="C3" s="131" t="s">
        <v>29</v>
      </c>
      <c r="D3" s="131" t="s">
        <v>30</v>
      </c>
      <c r="E3" s="131" t="s">
        <v>31</v>
      </c>
      <c r="F3" s="131" t="s">
        <v>32</v>
      </c>
      <c r="G3" s="132" t="s">
        <v>33</v>
      </c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</row>
    <row r="4" spans="1:18" ht="21.75" customHeight="1">
      <c r="A4" s="131"/>
      <c r="B4" s="131"/>
      <c r="C4" s="131"/>
      <c r="D4" s="131"/>
      <c r="E4" s="131"/>
      <c r="F4" s="131"/>
      <c r="G4" s="7" t="s">
        <v>49</v>
      </c>
      <c r="H4" s="7" t="s">
        <v>50</v>
      </c>
      <c r="I4" s="7" t="s">
        <v>51</v>
      </c>
      <c r="J4" s="7" t="s">
        <v>52</v>
      </c>
      <c r="K4" s="7" t="s">
        <v>53</v>
      </c>
      <c r="L4" s="7" t="s">
        <v>54</v>
      </c>
      <c r="M4" s="7" t="s">
        <v>55</v>
      </c>
      <c r="N4" s="7" t="s">
        <v>56</v>
      </c>
      <c r="O4" s="7" t="s">
        <v>57</v>
      </c>
      <c r="P4" s="7" t="s">
        <v>58</v>
      </c>
      <c r="Q4" s="7" t="s">
        <v>59</v>
      </c>
      <c r="R4" s="7" t="s">
        <v>60</v>
      </c>
    </row>
    <row r="5" spans="1:18" ht="16.5" customHeight="1">
      <c r="A5" s="123" t="s">
        <v>4</v>
      </c>
      <c r="B5" s="8" t="s">
        <v>5</v>
      </c>
      <c r="C5" s="9">
        <f>'2.예산입력'!C4</f>
        <v>0</v>
      </c>
      <c r="D5" s="9">
        <f>'1.지출통계'!O4</f>
        <v>0</v>
      </c>
      <c r="E5" s="9">
        <f t="shared" ref="E5:E36" si="0">C5-D5</f>
        <v>0</v>
      </c>
      <c r="F5" s="10" t="str">
        <f t="shared" ref="F5:F36" si="1">IF(C5=0,"-",TEXT(D5/C5,"0.0%"))</f>
        <v>-</v>
      </c>
      <c r="G5" s="11">
        <f>'1.지출통계'!C4</f>
        <v>0</v>
      </c>
      <c r="H5" s="11">
        <f>'1.지출통계'!D4</f>
        <v>0</v>
      </c>
      <c r="I5" s="11">
        <f>'1.지출통계'!E4</f>
        <v>0</v>
      </c>
      <c r="J5" s="11">
        <f>'1.지출통계'!F4</f>
        <v>0</v>
      </c>
      <c r="K5" s="11">
        <f>'1.지출통계'!G4</f>
        <v>0</v>
      </c>
      <c r="L5" s="11">
        <f>'1.지출통계'!H4</f>
        <v>0</v>
      </c>
      <c r="M5" s="11">
        <f>'1.지출통계'!I4</f>
        <v>0</v>
      </c>
      <c r="N5" s="11">
        <f>'1.지출통계'!J4</f>
        <v>0</v>
      </c>
      <c r="O5" s="11">
        <f>'1.지출통계'!K4</f>
        <v>0</v>
      </c>
      <c r="P5" s="11">
        <f>'1.지출통계'!L4</f>
        <v>0</v>
      </c>
      <c r="Q5" s="11">
        <f>'1.지출통계'!M4</f>
        <v>0</v>
      </c>
      <c r="R5" s="11">
        <f>'1.지출통계'!N4</f>
        <v>0</v>
      </c>
    </row>
    <row r="6" spans="1:18" ht="16.5" customHeight="1">
      <c r="A6" s="123"/>
      <c r="B6" s="12" t="s">
        <v>6</v>
      </c>
      <c r="C6" s="13">
        <f>'2.예산입력'!C5</f>
        <v>0</v>
      </c>
      <c r="D6" s="13">
        <f>'1.지출통계'!O5</f>
        <v>0</v>
      </c>
      <c r="E6" s="13">
        <f t="shared" si="0"/>
        <v>0</v>
      </c>
      <c r="F6" s="14" t="str">
        <f t="shared" si="1"/>
        <v>-</v>
      </c>
      <c r="G6" s="15">
        <f>'1.지출통계'!C5</f>
        <v>0</v>
      </c>
      <c r="H6" s="15">
        <f>'1.지출통계'!D5</f>
        <v>0</v>
      </c>
      <c r="I6" s="15">
        <f>'1.지출통계'!E5</f>
        <v>0</v>
      </c>
      <c r="J6" s="15">
        <f>'1.지출통계'!F5</f>
        <v>0</v>
      </c>
      <c r="K6" s="15">
        <f>'1.지출통계'!G5</f>
        <v>0</v>
      </c>
      <c r="L6" s="15">
        <f>'1.지출통계'!H5</f>
        <v>0</v>
      </c>
      <c r="M6" s="15">
        <f>'1.지출통계'!I5</f>
        <v>0</v>
      </c>
      <c r="N6" s="15">
        <f>'1.지출통계'!J5</f>
        <v>0</v>
      </c>
      <c r="O6" s="15">
        <f>'1.지출통계'!K5</f>
        <v>0</v>
      </c>
      <c r="P6" s="15">
        <f>'1.지출통계'!L5</f>
        <v>0</v>
      </c>
      <c r="Q6" s="15">
        <f>'1.지출통계'!M5</f>
        <v>0</v>
      </c>
      <c r="R6" s="15">
        <f>'1.지출통계'!N5</f>
        <v>0</v>
      </c>
    </row>
    <row r="7" spans="1:18" ht="16.5" customHeight="1">
      <c r="A7" s="123"/>
      <c r="B7" s="8" t="s">
        <v>7</v>
      </c>
      <c r="C7" s="9">
        <v>0</v>
      </c>
      <c r="D7" s="9">
        <f>'1.지출통계'!O6</f>
        <v>0</v>
      </c>
      <c r="E7" s="9">
        <f t="shared" si="0"/>
        <v>0</v>
      </c>
      <c r="F7" s="10" t="str">
        <f t="shared" si="1"/>
        <v>-</v>
      </c>
      <c r="G7" s="11">
        <f>'1.지출통계'!C6</f>
        <v>0</v>
      </c>
      <c r="H7" s="11">
        <f>'1.지출통계'!D6</f>
        <v>0</v>
      </c>
      <c r="I7" s="11">
        <f>'1.지출통계'!E6</f>
        <v>0</v>
      </c>
      <c r="J7" s="11">
        <f>'1.지출통계'!F6</f>
        <v>0</v>
      </c>
      <c r="K7" s="11">
        <f>'1.지출통계'!G6</f>
        <v>0</v>
      </c>
      <c r="L7" s="11">
        <f>'1.지출통계'!H6</f>
        <v>0</v>
      </c>
      <c r="M7" s="11">
        <f>'1.지출통계'!I6</f>
        <v>0</v>
      </c>
      <c r="N7" s="11">
        <f>'1.지출통계'!J6</f>
        <v>0</v>
      </c>
      <c r="O7" s="11">
        <f>'1.지출통계'!K6</f>
        <v>0</v>
      </c>
      <c r="P7" s="11">
        <f>'1.지출통계'!L6</f>
        <v>0</v>
      </c>
      <c r="Q7" s="11">
        <f>'1.지출통계'!M6</f>
        <v>0</v>
      </c>
      <c r="R7" s="11">
        <f>'1.지출통계'!N6</f>
        <v>0</v>
      </c>
    </row>
    <row r="8" spans="1:18" ht="16.5" customHeight="1">
      <c r="A8" s="123"/>
      <c r="B8" s="12" t="s">
        <v>8</v>
      </c>
      <c r="C8" s="13">
        <f>'2.예산입력'!C7</f>
        <v>0</v>
      </c>
      <c r="D8" s="13">
        <f>'1.지출통계'!O7</f>
        <v>0</v>
      </c>
      <c r="E8" s="13">
        <f t="shared" si="0"/>
        <v>0</v>
      </c>
      <c r="F8" s="14" t="str">
        <f t="shared" si="1"/>
        <v>-</v>
      </c>
      <c r="G8" s="15">
        <f>'1.지출통계'!C7</f>
        <v>0</v>
      </c>
      <c r="H8" s="15">
        <f>'1.지출통계'!D7</f>
        <v>0</v>
      </c>
      <c r="I8" s="15">
        <f>'1.지출통계'!E7</f>
        <v>0</v>
      </c>
      <c r="J8" s="15">
        <f>'1.지출통계'!F7</f>
        <v>0</v>
      </c>
      <c r="K8" s="15">
        <f>'1.지출통계'!G7</f>
        <v>0</v>
      </c>
      <c r="L8" s="15">
        <f>'1.지출통계'!H7</f>
        <v>0</v>
      </c>
      <c r="M8" s="15">
        <f>'1.지출통계'!I7</f>
        <v>0</v>
      </c>
      <c r="N8" s="15">
        <f>'1.지출통계'!J7</f>
        <v>0</v>
      </c>
      <c r="O8" s="15">
        <f>'1.지출통계'!K7</f>
        <v>0</v>
      </c>
      <c r="P8" s="15">
        <f>'1.지출통계'!L7</f>
        <v>0</v>
      </c>
      <c r="Q8" s="15">
        <f>'1.지출통계'!M7</f>
        <v>0</v>
      </c>
      <c r="R8" s="15">
        <f>'1.지출통계'!N7</f>
        <v>0</v>
      </c>
    </row>
    <row r="9" spans="1:18" ht="16.5" customHeight="1">
      <c r="A9" s="123"/>
      <c r="B9" s="8" t="s">
        <v>9</v>
      </c>
      <c r="C9" s="9">
        <f>'2.예산입력'!C8</f>
        <v>0</v>
      </c>
      <c r="D9" s="9">
        <f>'1.지출통계'!O8</f>
        <v>0</v>
      </c>
      <c r="E9" s="9">
        <f t="shared" si="0"/>
        <v>0</v>
      </c>
      <c r="F9" s="10" t="str">
        <f t="shared" si="1"/>
        <v>-</v>
      </c>
      <c r="G9" s="11">
        <f>'1.지출통계'!C8</f>
        <v>0</v>
      </c>
      <c r="H9" s="11">
        <f>'1.지출통계'!D8</f>
        <v>0</v>
      </c>
      <c r="I9" s="11">
        <f>'1.지출통계'!E8</f>
        <v>0</v>
      </c>
      <c r="J9" s="11">
        <f>'1.지출통계'!F8</f>
        <v>0</v>
      </c>
      <c r="K9" s="11">
        <f>'1.지출통계'!G8</f>
        <v>0</v>
      </c>
      <c r="L9" s="11">
        <f>'1.지출통계'!H8</f>
        <v>0</v>
      </c>
      <c r="M9" s="11">
        <f>'1.지출통계'!I8</f>
        <v>0</v>
      </c>
      <c r="N9" s="11">
        <f>'1.지출통계'!J8</f>
        <v>0</v>
      </c>
      <c r="O9" s="11">
        <f>'1.지출통계'!K8</f>
        <v>0</v>
      </c>
      <c r="P9" s="11">
        <f>'1.지출통계'!L8</f>
        <v>0</v>
      </c>
      <c r="Q9" s="11">
        <f>'1.지출통계'!M8</f>
        <v>0</v>
      </c>
      <c r="R9" s="11">
        <f>'1.지출통계'!N8</f>
        <v>0</v>
      </c>
    </row>
    <row r="10" spans="1:18" ht="16.5" customHeight="1">
      <c r="A10" s="123"/>
      <c r="B10" s="12" t="s">
        <v>10</v>
      </c>
      <c r="C10" s="13">
        <v>0</v>
      </c>
      <c r="D10" s="13">
        <f>'1.지출통계'!O9</f>
        <v>0</v>
      </c>
      <c r="E10" s="13">
        <f t="shared" si="0"/>
        <v>0</v>
      </c>
      <c r="F10" s="14" t="str">
        <f t="shared" si="1"/>
        <v>-</v>
      </c>
      <c r="G10" s="15">
        <f>'1.지출통계'!C9</f>
        <v>0</v>
      </c>
      <c r="H10" s="15">
        <f>'1.지출통계'!D9</f>
        <v>0</v>
      </c>
      <c r="I10" s="15">
        <f>'1.지출통계'!E9</f>
        <v>0</v>
      </c>
      <c r="J10" s="15">
        <f>'1.지출통계'!F9</f>
        <v>0</v>
      </c>
      <c r="K10" s="15">
        <f>'1.지출통계'!G9</f>
        <v>0</v>
      </c>
      <c r="L10" s="15">
        <f>'1.지출통계'!H9</f>
        <v>0</v>
      </c>
      <c r="M10" s="15">
        <f>'1.지출통계'!I9</f>
        <v>0</v>
      </c>
      <c r="N10" s="15">
        <f>'1.지출통계'!J9</f>
        <v>0</v>
      </c>
      <c r="O10" s="15">
        <f>'1.지출통계'!K9</f>
        <v>0</v>
      </c>
      <c r="P10" s="15">
        <f>'1.지출통계'!L9</f>
        <v>0</v>
      </c>
      <c r="Q10" s="15">
        <f>'1.지출통계'!M9</f>
        <v>0</v>
      </c>
      <c r="R10" s="15">
        <f>'1.지출통계'!N9</f>
        <v>0</v>
      </c>
    </row>
    <row r="11" spans="1:18" ht="16.5" customHeight="1">
      <c r="A11" s="123"/>
      <c r="B11" s="8" t="s">
        <v>11</v>
      </c>
      <c r="C11" s="9">
        <f>'2.예산입력'!C10</f>
        <v>0</v>
      </c>
      <c r="D11" s="9">
        <f>'1.지출통계'!O10</f>
        <v>0</v>
      </c>
      <c r="E11" s="9">
        <f t="shared" si="0"/>
        <v>0</v>
      </c>
      <c r="F11" s="10" t="str">
        <f t="shared" si="1"/>
        <v>-</v>
      </c>
      <c r="G11" s="11">
        <f>'1.지출통계'!C10</f>
        <v>0</v>
      </c>
      <c r="H11" s="11">
        <f>'1.지출통계'!D10</f>
        <v>0</v>
      </c>
      <c r="I11" s="11">
        <f>'1.지출통계'!E10</f>
        <v>0</v>
      </c>
      <c r="J11" s="11">
        <f>'1.지출통계'!F10</f>
        <v>0</v>
      </c>
      <c r="K11" s="11">
        <f>'1.지출통계'!G10</f>
        <v>0</v>
      </c>
      <c r="L11" s="11">
        <f>'1.지출통계'!H10</f>
        <v>0</v>
      </c>
      <c r="M11" s="11">
        <f>'1.지출통계'!I10</f>
        <v>0</v>
      </c>
      <c r="N11" s="11">
        <f>'1.지출통계'!J10</f>
        <v>0</v>
      </c>
      <c r="O11" s="11">
        <f>'1.지출통계'!K10</f>
        <v>0</v>
      </c>
      <c r="P11" s="11">
        <f>'1.지출통계'!L10</f>
        <v>0</v>
      </c>
      <c r="Q11" s="11">
        <f>'1.지출통계'!M10</f>
        <v>0</v>
      </c>
      <c r="R11" s="11">
        <f>'1.지출통계'!N10</f>
        <v>0</v>
      </c>
    </row>
    <row r="12" spans="1:18" ht="16.5" customHeight="1">
      <c r="A12" s="123"/>
      <c r="B12" s="12" t="s">
        <v>12</v>
      </c>
      <c r="C12" s="13">
        <f>'2.예산입력'!C11</f>
        <v>0</v>
      </c>
      <c r="D12" s="13">
        <f>'1.지출통계'!O11</f>
        <v>0</v>
      </c>
      <c r="E12" s="13">
        <f t="shared" si="0"/>
        <v>0</v>
      </c>
      <c r="F12" s="14" t="str">
        <f t="shared" si="1"/>
        <v>-</v>
      </c>
      <c r="G12" s="15">
        <f>'1.지출통계'!C11</f>
        <v>0</v>
      </c>
      <c r="H12" s="15">
        <f>'1.지출통계'!D11</f>
        <v>0</v>
      </c>
      <c r="I12" s="15">
        <f>'1.지출통계'!E11</f>
        <v>0</v>
      </c>
      <c r="J12" s="15">
        <f>'1.지출통계'!F11</f>
        <v>0</v>
      </c>
      <c r="K12" s="15">
        <f>'1.지출통계'!G11</f>
        <v>0</v>
      </c>
      <c r="L12" s="15">
        <f>'1.지출통계'!H11</f>
        <v>0</v>
      </c>
      <c r="M12" s="15">
        <f>'1.지출통계'!I11</f>
        <v>0</v>
      </c>
      <c r="N12" s="15">
        <f>'1.지출통계'!J11</f>
        <v>0</v>
      </c>
      <c r="O12" s="15">
        <f>'1.지출통계'!K11</f>
        <v>0</v>
      </c>
      <c r="P12" s="15">
        <f>'1.지출통계'!L11</f>
        <v>0</v>
      </c>
      <c r="Q12" s="15">
        <f>'1.지출통계'!M11</f>
        <v>0</v>
      </c>
      <c r="R12" s="15">
        <f>'1.지출통계'!N11</f>
        <v>0</v>
      </c>
    </row>
    <row r="13" spans="1:18" ht="16.5" customHeight="1">
      <c r="A13" s="123"/>
      <c r="B13" s="8" t="s">
        <v>13</v>
      </c>
      <c r="C13" s="9">
        <f>'2.예산입력'!C12</f>
        <v>0</v>
      </c>
      <c r="D13" s="9">
        <f>'1.지출통계'!O12</f>
        <v>0</v>
      </c>
      <c r="E13" s="9">
        <f t="shared" si="0"/>
        <v>0</v>
      </c>
      <c r="F13" s="10" t="str">
        <f t="shared" si="1"/>
        <v>-</v>
      </c>
      <c r="G13" s="11">
        <f>'1.지출통계'!C12</f>
        <v>0</v>
      </c>
      <c r="H13" s="11">
        <f>'1.지출통계'!D12</f>
        <v>0</v>
      </c>
      <c r="I13" s="11">
        <f>'1.지출통계'!E12</f>
        <v>0</v>
      </c>
      <c r="J13" s="11">
        <f>'1.지출통계'!F12</f>
        <v>0</v>
      </c>
      <c r="K13" s="11">
        <f>'1.지출통계'!G12</f>
        <v>0</v>
      </c>
      <c r="L13" s="11">
        <f>'1.지출통계'!H12</f>
        <v>0</v>
      </c>
      <c r="M13" s="11">
        <f>'1.지출통계'!I12</f>
        <v>0</v>
      </c>
      <c r="N13" s="11">
        <f>'1.지출통계'!J12</f>
        <v>0</v>
      </c>
      <c r="O13" s="11">
        <f>'1.지출통계'!K12</f>
        <v>0</v>
      </c>
      <c r="P13" s="11">
        <f>'1.지출통계'!L12</f>
        <v>0</v>
      </c>
      <c r="Q13" s="11">
        <f>'1.지출통계'!M12</f>
        <v>0</v>
      </c>
      <c r="R13" s="11">
        <f>'1.지출통계'!N12</f>
        <v>0</v>
      </c>
    </row>
    <row r="14" spans="1:18" ht="19.5" customHeight="1">
      <c r="A14" s="128" t="s">
        <v>14</v>
      </c>
      <c r="B14" s="128"/>
      <c r="C14" s="75">
        <f>'2.예산입력'!C13</f>
        <v>0</v>
      </c>
      <c r="D14" s="75">
        <f>'1.지출통계'!O13</f>
        <v>0</v>
      </c>
      <c r="E14" s="75">
        <f t="shared" si="0"/>
        <v>0</v>
      </c>
      <c r="F14" s="121" t="str">
        <f t="shared" si="1"/>
        <v>-</v>
      </c>
      <c r="G14" s="16">
        <f>'1.지출통계'!C13</f>
        <v>0</v>
      </c>
      <c r="H14" s="16">
        <f>'1.지출통계'!D13</f>
        <v>0</v>
      </c>
      <c r="I14" s="16">
        <f>'1.지출통계'!E13</f>
        <v>0</v>
      </c>
      <c r="J14" s="16">
        <f>'1.지출통계'!F13</f>
        <v>0</v>
      </c>
      <c r="K14" s="16">
        <f>'1.지출통계'!G13</f>
        <v>0</v>
      </c>
      <c r="L14" s="16">
        <f>'1.지출통계'!H13</f>
        <v>0</v>
      </c>
      <c r="M14" s="16">
        <f>'1.지출통계'!I13</f>
        <v>0</v>
      </c>
      <c r="N14" s="16">
        <f>'1.지출통계'!J13</f>
        <v>0</v>
      </c>
      <c r="O14" s="16">
        <f>'1.지출통계'!K13</f>
        <v>0</v>
      </c>
      <c r="P14" s="16">
        <f>'1.지출통계'!L13</f>
        <v>0</v>
      </c>
      <c r="Q14" s="16">
        <f>'1.지출통계'!M13</f>
        <v>0</v>
      </c>
      <c r="R14" s="16">
        <f>'1.지출통계'!N13</f>
        <v>0</v>
      </c>
    </row>
    <row r="15" spans="1:18" ht="16.5" customHeight="1">
      <c r="A15" s="123" t="s">
        <v>15</v>
      </c>
      <c r="B15" s="8" t="s">
        <v>5</v>
      </c>
      <c r="C15" s="9">
        <f>'2.예산입력'!C14</f>
        <v>0</v>
      </c>
      <c r="D15" s="9">
        <f>'1.지출통계'!O14</f>
        <v>0</v>
      </c>
      <c r="E15" s="9">
        <f t="shared" si="0"/>
        <v>0</v>
      </c>
      <c r="F15" s="10" t="str">
        <f t="shared" si="1"/>
        <v>-</v>
      </c>
      <c r="G15" s="11">
        <f>'1.지출통계'!C14</f>
        <v>0</v>
      </c>
      <c r="H15" s="11">
        <f>'1.지출통계'!D14</f>
        <v>0</v>
      </c>
      <c r="I15" s="11">
        <f>'1.지출통계'!E14</f>
        <v>0</v>
      </c>
      <c r="J15" s="11">
        <f>'1.지출통계'!F14</f>
        <v>0</v>
      </c>
      <c r="K15" s="11">
        <f>'1.지출통계'!G14</f>
        <v>0</v>
      </c>
      <c r="L15" s="11">
        <f>'1.지출통계'!H14</f>
        <v>0</v>
      </c>
      <c r="M15" s="11">
        <f>'1.지출통계'!I14</f>
        <v>0</v>
      </c>
      <c r="N15" s="11">
        <f>'1.지출통계'!J14</f>
        <v>0</v>
      </c>
      <c r="O15" s="11">
        <f>'1.지출통계'!K14</f>
        <v>0</v>
      </c>
      <c r="P15" s="11">
        <f>'1.지출통계'!L14</f>
        <v>0</v>
      </c>
      <c r="Q15" s="11">
        <f>'1.지출통계'!M14</f>
        <v>0</v>
      </c>
      <c r="R15" s="11">
        <f>'1.지출통계'!N14</f>
        <v>0</v>
      </c>
    </row>
    <row r="16" spans="1:18" ht="16.5" customHeight="1">
      <c r="A16" s="123"/>
      <c r="B16" s="12" t="s">
        <v>6</v>
      </c>
      <c r="C16" s="13">
        <f>'2.예산입력'!C15</f>
        <v>0</v>
      </c>
      <c r="D16" s="13">
        <f>'1.지출통계'!O15</f>
        <v>0</v>
      </c>
      <c r="E16" s="13">
        <f t="shared" si="0"/>
        <v>0</v>
      </c>
      <c r="F16" s="14" t="str">
        <f t="shared" si="1"/>
        <v>-</v>
      </c>
      <c r="G16" s="15">
        <f>'1.지출통계'!C15</f>
        <v>0</v>
      </c>
      <c r="H16" s="15">
        <f>'1.지출통계'!D15</f>
        <v>0</v>
      </c>
      <c r="I16" s="15">
        <f>'1.지출통계'!E15</f>
        <v>0</v>
      </c>
      <c r="J16" s="15">
        <f>'1.지출통계'!F15</f>
        <v>0</v>
      </c>
      <c r="K16" s="15">
        <f>'1.지출통계'!G15</f>
        <v>0</v>
      </c>
      <c r="L16" s="15">
        <f>'1.지출통계'!H15</f>
        <v>0</v>
      </c>
      <c r="M16" s="15">
        <f>'1.지출통계'!I15</f>
        <v>0</v>
      </c>
      <c r="N16" s="15">
        <f>'1.지출통계'!J15</f>
        <v>0</v>
      </c>
      <c r="O16" s="15">
        <f>'1.지출통계'!K15</f>
        <v>0</v>
      </c>
      <c r="P16" s="15">
        <f>'1.지출통계'!L15</f>
        <v>0</v>
      </c>
      <c r="Q16" s="15">
        <f>'1.지출통계'!M15</f>
        <v>0</v>
      </c>
      <c r="R16" s="15">
        <f>'1.지출통계'!N15</f>
        <v>0</v>
      </c>
    </row>
    <row r="17" spans="1:18" ht="16.5" customHeight="1">
      <c r="A17" s="123"/>
      <c r="B17" s="8" t="s">
        <v>7</v>
      </c>
      <c r="C17" s="9">
        <f>'2.예산입력'!C16</f>
        <v>0</v>
      </c>
      <c r="D17" s="9">
        <f>'1.지출통계'!O16</f>
        <v>0</v>
      </c>
      <c r="E17" s="9">
        <f t="shared" si="0"/>
        <v>0</v>
      </c>
      <c r="F17" s="10" t="str">
        <f t="shared" si="1"/>
        <v>-</v>
      </c>
      <c r="G17" s="11">
        <f>'1.지출통계'!C16</f>
        <v>0</v>
      </c>
      <c r="H17" s="11">
        <f>'1.지출통계'!D16</f>
        <v>0</v>
      </c>
      <c r="I17" s="11">
        <f>'1.지출통계'!E16</f>
        <v>0</v>
      </c>
      <c r="J17" s="11">
        <f>'1.지출통계'!F16</f>
        <v>0</v>
      </c>
      <c r="K17" s="11">
        <f>'1.지출통계'!G16</f>
        <v>0</v>
      </c>
      <c r="L17" s="11">
        <f>'1.지출통계'!H16</f>
        <v>0</v>
      </c>
      <c r="M17" s="11">
        <f>'1.지출통계'!I16</f>
        <v>0</v>
      </c>
      <c r="N17" s="11">
        <f>'1.지출통계'!J16</f>
        <v>0</v>
      </c>
      <c r="O17" s="11">
        <f>'1.지출통계'!K16</f>
        <v>0</v>
      </c>
      <c r="P17" s="11">
        <f>'1.지출통계'!L16</f>
        <v>0</v>
      </c>
      <c r="Q17" s="11">
        <f>'1.지출통계'!M16</f>
        <v>0</v>
      </c>
      <c r="R17" s="11">
        <f>'1.지출통계'!N16</f>
        <v>0</v>
      </c>
    </row>
    <row r="18" spans="1:18" ht="16.5" customHeight="1">
      <c r="A18" s="123"/>
      <c r="B18" s="12" t="s">
        <v>8</v>
      </c>
      <c r="C18" s="13">
        <f>'2.예산입력'!C17</f>
        <v>0</v>
      </c>
      <c r="D18" s="13">
        <f>'1.지출통계'!O17</f>
        <v>0</v>
      </c>
      <c r="E18" s="13">
        <f t="shared" si="0"/>
        <v>0</v>
      </c>
      <c r="F18" s="14" t="str">
        <f t="shared" si="1"/>
        <v>-</v>
      </c>
      <c r="G18" s="15">
        <f>'1.지출통계'!C17</f>
        <v>0</v>
      </c>
      <c r="H18" s="15">
        <f>'1.지출통계'!D17</f>
        <v>0</v>
      </c>
      <c r="I18" s="15">
        <f>'1.지출통계'!E17</f>
        <v>0</v>
      </c>
      <c r="J18" s="15">
        <f>'1.지출통계'!F17</f>
        <v>0</v>
      </c>
      <c r="K18" s="15">
        <f>'1.지출통계'!G17</f>
        <v>0</v>
      </c>
      <c r="L18" s="15">
        <f>'1.지출통계'!H17</f>
        <v>0</v>
      </c>
      <c r="M18" s="15">
        <f>'1.지출통계'!I17</f>
        <v>0</v>
      </c>
      <c r="N18" s="15">
        <f>'1.지출통계'!J17</f>
        <v>0</v>
      </c>
      <c r="O18" s="15">
        <f>'1.지출통계'!K17</f>
        <v>0</v>
      </c>
      <c r="P18" s="15">
        <f>'1.지출통계'!L17</f>
        <v>0</v>
      </c>
      <c r="Q18" s="15">
        <f>'1.지출통계'!M17</f>
        <v>0</v>
      </c>
      <c r="R18" s="15">
        <f>'1.지출통계'!N17</f>
        <v>0</v>
      </c>
    </row>
    <row r="19" spans="1:18" ht="16.5" customHeight="1">
      <c r="A19" s="123"/>
      <c r="B19" s="8" t="s">
        <v>9</v>
      </c>
      <c r="C19" s="9">
        <f>'2.예산입력'!C18</f>
        <v>0</v>
      </c>
      <c r="D19" s="9">
        <f>'1.지출통계'!O18</f>
        <v>0</v>
      </c>
      <c r="E19" s="9">
        <f t="shared" si="0"/>
        <v>0</v>
      </c>
      <c r="F19" s="10" t="str">
        <f t="shared" si="1"/>
        <v>-</v>
      </c>
      <c r="G19" s="11">
        <f>'1.지출통계'!C18</f>
        <v>0</v>
      </c>
      <c r="H19" s="11">
        <f>'1.지출통계'!D18</f>
        <v>0</v>
      </c>
      <c r="I19" s="11">
        <f>'1.지출통계'!E18</f>
        <v>0</v>
      </c>
      <c r="J19" s="11">
        <f>'1.지출통계'!F18</f>
        <v>0</v>
      </c>
      <c r="K19" s="11">
        <f>'1.지출통계'!G18</f>
        <v>0</v>
      </c>
      <c r="L19" s="11">
        <f>'1.지출통계'!H18</f>
        <v>0</v>
      </c>
      <c r="M19" s="11">
        <f>'1.지출통계'!I18</f>
        <v>0</v>
      </c>
      <c r="N19" s="11">
        <f>'1.지출통계'!J18</f>
        <v>0</v>
      </c>
      <c r="O19" s="11">
        <f>'1.지출통계'!K18</f>
        <v>0</v>
      </c>
      <c r="P19" s="11">
        <f>'1.지출통계'!L18</f>
        <v>0</v>
      </c>
      <c r="Q19" s="11">
        <f>'1.지출통계'!M18</f>
        <v>0</v>
      </c>
      <c r="R19" s="11">
        <f>'1.지출통계'!N18</f>
        <v>0</v>
      </c>
    </row>
    <row r="20" spans="1:18" ht="16.5" customHeight="1">
      <c r="A20" s="123"/>
      <c r="B20" s="12" t="s">
        <v>10</v>
      </c>
      <c r="C20" s="13">
        <f>'2.예산입력'!C19</f>
        <v>0</v>
      </c>
      <c r="D20" s="13">
        <f>'1.지출통계'!O19</f>
        <v>0</v>
      </c>
      <c r="E20" s="13">
        <f t="shared" si="0"/>
        <v>0</v>
      </c>
      <c r="F20" s="14" t="str">
        <f t="shared" si="1"/>
        <v>-</v>
      </c>
      <c r="G20" s="15">
        <f>'1.지출통계'!C19</f>
        <v>0</v>
      </c>
      <c r="H20" s="15">
        <f>'1.지출통계'!D19</f>
        <v>0</v>
      </c>
      <c r="I20" s="15">
        <f>'1.지출통계'!E19</f>
        <v>0</v>
      </c>
      <c r="J20" s="15">
        <f>'1.지출통계'!F19</f>
        <v>0</v>
      </c>
      <c r="K20" s="15">
        <f>'1.지출통계'!G19</f>
        <v>0</v>
      </c>
      <c r="L20" s="15">
        <f>'1.지출통계'!H19</f>
        <v>0</v>
      </c>
      <c r="M20" s="15">
        <f>'1.지출통계'!I19</f>
        <v>0</v>
      </c>
      <c r="N20" s="15">
        <f>'1.지출통계'!J19</f>
        <v>0</v>
      </c>
      <c r="O20" s="15">
        <f>'1.지출통계'!K19</f>
        <v>0</v>
      </c>
      <c r="P20" s="15">
        <f>'1.지출통계'!L19</f>
        <v>0</v>
      </c>
      <c r="Q20" s="15">
        <f>'1.지출통계'!M19</f>
        <v>0</v>
      </c>
      <c r="R20" s="15">
        <f>'1.지출통계'!N19</f>
        <v>0</v>
      </c>
    </row>
    <row r="21" spans="1:18" ht="16.5" customHeight="1">
      <c r="A21" s="123"/>
      <c r="B21" s="8" t="s">
        <v>11</v>
      </c>
      <c r="C21" s="9">
        <f>'2.예산입력'!C20</f>
        <v>0</v>
      </c>
      <c r="D21" s="9">
        <f>'1.지출통계'!O20</f>
        <v>0</v>
      </c>
      <c r="E21" s="9">
        <f t="shared" si="0"/>
        <v>0</v>
      </c>
      <c r="F21" s="10" t="str">
        <f t="shared" si="1"/>
        <v>-</v>
      </c>
      <c r="G21" s="11">
        <f>'1.지출통계'!C20</f>
        <v>0</v>
      </c>
      <c r="H21" s="11">
        <f>'1.지출통계'!D20</f>
        <v>0</v>
      </c>
      <c r="I21" s="11">
        <f>'1.지출통계'!E20</f>
        <v>0</v>
      </c>
      <c r="J21" s="11">
        <f>'1.지출통계'!F20</f>
        <v>0</v>
      </c>
      <c r="K21" s="11">
        <f>'1.지출통계'!G20</f>
        <v>0</v>
      </c>
      <c r="L21" s="11">
        <f>'1.지출통계'!H20</f>
        <v>0</v>
      </c>
      <c r="M21" s="11">
        <f>'1.지출통계'!I20</f>
        <v>0</v>
      </c>
      <c r="N21" s="11">
        <f>'1.지출통계'!J20</f>
        <v>0</v>
      </c>
      <c r="O21" s="11">
        <f>'1.지출통계'!K20</f>
        <v>0</v>
      </c>
      <c r="P21" s="11">
        <f>'1.지출통계'!L20</f>
        <v>0</v>
      </c>
      <c r="Q21" s="11">
        <f>'1.지출통계'!M20</f>
        <v>0</v>
      </c>
      <c r="R21" s="11">
        <f>'1.지출통계'!N20</f>
        <v>0</v>
      </c>
    </row>
    <row r="22" spans="1:18" ht="16.5" customHeight="1">
      <c r="A22" s="123"/>
      <c r="B22" s="12" t="s">
        <v>12</v>
      </c>
      <c r="C22" s="13">
        <f>'2.예산입력'!C21</f>
        <v>0</v>
      </c>
      <c r="D22" s="13">
        <f>'1.지출통계'!O21</f>
        <v>0</v>
      </c>
      <c r="E22" s="13">
        <f t="shared" si="0"/>
        <v>0</v>
      </c>
      <c r="F22" s="14" t="str">
        <f t="shared" si="1"/>
        <v>-</v>
      </c>
      <c r="G22" s="15">
        <f>'1.지출통계'!C21</f>
        <v>0</v>
      </c>
      <c r="H22" s="15">
        <f>'1.지출통계'!D21</f>
        <v>0</v>
      </c>
      <c r="I22" s="15">
        <f>'1.지출통계'!E21</f>
        <v>0</v>
      </c>
      <c r="J22" s="15">
        <f>'1.지출통계'!F21</f>
        <v>0</v>
      </c>
      <c r="K22" s="15">
        <f>'1.지출통계'!G21</f>
        <v>0</v>
      </c>
      <c r="L22" s="15">
        <f>'1.지출통계'!H21</f>
        <v>0</v>
      </c>
      <c r="M22" s="15">
        <f>'1.지출통계'!I21</f>
        <v>0</v>
      </c>
      <c r="N22" s="15">
        <f>'1.지출통계'!J21</f>
        <v>0</v>
      </c>
      <c r="O22" s="15">
        <f>'1.지출통계'!K21</f>
        <v>0</v>
      </c>
      <c r="P22" s="15">
        <f>'1.지출통계'!L21</f>
        <v>0</v>
      </c>
      <c r="Q22" s="15">
        <f>'1.지출통계'!M21</f>
        <v>0</v>
      </c>
      <c r="R22" s="15">
        <f>'1.지출통계'!N21</f>
        <v>0</v>
      </c>
    </row>
    <row r="23" spans="1:18" ht="16.5" customHeight="1">
      <c r="A23" s="123"/>
      <c r="B23" s="8" t="s">
        <v>13</v>
      </c>
      <c r="C23" s="9">
        <f>'2.예산입력'!C22</f>
        <v>0</v>
      </c>
      <c r="D23" s="9">
        <f>'1.지출통계'!O22</f>
        <v>0</v>
      </c>
      <c r="E23" s="9">
        <f t="shared" si="0"/>
        <v>0</v>
      </c>
      <c r="F23" s="10" t="str">
        <f t="shared" si="1"/>
        <v>-</v>
      </c>
      <c r="G23" s="11">
        <f>'1.지출통계'!C22</f>
        <v>0</v>
      </c>
      <c r="H23" s="11">
        <f>'1.지출통계'!D22</f>
        <v>0</v>
      </c>
      <c r="I23" s="11">
        <f>'1.지출통계'!E22</f>
        <v>0</v>
      </c>
      <c r="J23" s="11">
        <f>'1.지출통계'!F22</f>
        <v>0</v>
      </c>
      <c r="K23" s="11">
        <f>'1.지출통계'!G22</f>
        <v>0</v>
      </c>
      <c r="L23" s="11">
        <f>'1.지출통계'!H22</f>
        <v>0</v>
      </c>
      <c r="M23" s="11">
        <f>'1.지출통계'!I22</f>
        <v>0</v>
      </c>
      <c r="N23" s="11">
        <f>'1.지출통계'!J22</f>
        <v>0</v>
      </c>
      <c r="O23" s="11">
        <f>'1.지출통계'!K22</f>
        <v>0</v>
      </c>
      <c r="P23" s="11">
        <f>'1.지출통계'!L22</f>
        <v>0</v>
      </c>
      <c r="Q23" s="11">
        <f>'1.지출통계'!M22</f>
        <v>0</v>
      </c>
      <c r="R23" s="11">
        <f>'1.지출통계'!N22</f>
        <v>0</v>
      </c>
    </row>
    <row r="24" spans="1:18" ht="19.5" customHeight="1">
      <c r="A24" s="128" t="s">
        <v>16</v>
      </c>
      <c r="B24" s="128"/>
      <c r="C24" s="75">
        <f>'2.예산입력'!C23</f>
        <v>0</v>
      </c>
      <c r="D24" s="75">
        <f>'1.지출통계'!O23</f>
        <v>0</v>
      </c>
      <c r="E24" s="75">
        <f t="shared" si="0"/>
        <v>0</v>
      </c>
      <c r="F24" s="121" t="str">
        <f t="shared" si="1"/>
        <v>-</v>
      </c>
      <c r="G24" s="16">
        <f>'1.지출통계'!C23</f>
        <v>0</v>
      </c>
      <c r="H24" s="16">
        <f>'1.지출통계'!D23</f>
        <v>0</v>
      </c>
      <c r="I24" s="16">
        <f>'1.지출통계'!E23</f>
        <v>0</v>
      </c>
      <c r="J24" s="16">
        <f>'1.지출통계'!F23</f>
        <v>0</v>
      </c>
      <c r="K24" s="16">
        <f>'1.지출통계'!G23</f>
        <v>0</v>
      </c>
      <c r="L24" s="16">
        <f>'1.지출통계'!H23</f>
        <v>0</v>
      </c>
      <c r="M24" s="16">
        <f>'1.지출통계'!I23</f>
        <v>0</v>
      </c>
      <c r="N24" s="16">
        <f>'1.지출통계'!J23</f>
        <v>0</v>
      </c>
      <c r="O24" s="16">
        <f>'1.지출통계'!K23</f>
        <v>0</v>
      </c>
      <c r="P24" s="16">
        <f>'1.지출통계'!L23</f>
        <v>0</v>
      </c>
      <c r="Q24" s="16">
        <f>'1.지출통계'!M23</f>
        <v>0</v>
      </c>
      <c r="R24" s="16">
        <f>'1.지출통계'!N23</f>
        <v>0</v>
      </c>
    </row>
    <row r="25" spans="1:18" ht="16.5" customHeight="1">
      <c r="A25" s="123" t="s">
        <v>17</v>
      </c>
      <c r="B25" s="8" t="s">
        <v>5</v>
      </c>
      <c r="C25" s="9">
        <f>'2.예산입력'!C24</f>
        <v>0</v>
      </c>
      <c r="D25" s="9">
        <f>'1.지출통계'!O24</f>
        <v>0</v>
      </c>
      <c r="E25" s="9">
        <f t="shared" si="0"/>
        <v>0</v>
      </c>
      <c r="F25" s="10" t="str">
        <f t="shared" si="1"/>
        <v>-</v>
      </c>
      <c r="G25" s="11">
        <f>'1.지출통계'!C24</f>
        <v>0</v>
      </c>
      <c r="H25" s="11">
        <f>'1.지출통계'!D24</f>
        <v>0</v>
      </c>
      <c r="I25" s="11">
        <f>'1.지출통계'!E24</f>
        <v>0</v>
      </c>
      <c r="J25" s="11">
        <f>'1.지출통계'!F24</f>
        <v>0</v>
      </c>
      <c r="K25" s="11">
        <f>'1.지출통계'!G24</f>
        <v>0</v>
      </c>
      <c r="L25" s="11">
        <f>'1.지출통계'!H24</f>
        <v>0</v>
      </c>
      <c r="M25" s="11">
        <f>'1.지출통계'!I24</f>
        <v>0</v>
      </c>
      <c r="N25" s="11">
        <f>'1.지출통계'!J24</f>
        <v>0</v>
      </c>
      <c r="O25" s="11">
        <f>'1.지출통계'!K24</f>
        <v>0</v>
      </c>
      <c r="P25" s="11">
        <f>'1.지출통계'!L24</f>
        <v>0</v>
      </c>
      <c r="Q25" s="11">
        <f>'1.지출통계'!M24</f>
        <v>0</v>
      </c>
      <c r="R25" s="11">
        <f>'1.지출통계'!N24</f>
        <v>0</v>
      </c>
    </row>
    <row r="26" spans="1:18" ht="16.5" customHeight="1">
      <c r="A26" s="123"/>
      <c r="B26" s="12" t="s">
        <v>6</v>
      </c>
      <c r="C26" s="13">
        <f>'2.예산입력'!C25</f>
        <v>0</v>
      </c>
      <c r="D26" s="13">
        <f>'1.지출통계'!O25</f>
        <v>0</v>
      </c>
      <c r="E26" s="13">
        <f t="shared" si="0"/>
        <v>0</v>
      </c>
      <c r="F26" s="14" t="str">
        <f t="shared" si="1"/>
        <v>-</v>
      </c>
      <c r="G26" s="15">
        <f>'1.지출통계'!C25</f>
        <v>0</v>
      </c>
      <c r="H26" s="15">
        <f>'1.지출통계'!D25</f>
        <v>0</v>
      </c>
      <c r="I26" s="15">
        <f>'1.지출통계'!E25</f>
        <v>0</v>
      </c>
      <c r="J26" s="15">
        <f>'1.지출통계'!F25</f>
        <v>0</v>
      </c>
      <c r="K26" s="15">
        <f>'1.지출통계'!G25</f>
        <v>0</v>
      </c>
      <c r="L26" s="15">
        <f>'1.지출통계'!H25</f>
        <v>0</v>
      </c>
      <c r="M26" s="15">
        <f>'1.지출통계'!I25</f>
        <v>0</v>
      </c>
      <c r="N26" s="15">
        <f>'1.지출통계'!J25</f>
        <v>0</v>
      </c>
      <c r="O26" s="15">
        <f>'1.지출통계'!K25</f>
        <v>0</v>
      </c>
      <c r="P26" s="15">
        <f>'1.지출통계'!L25</f>
        <v>0</v>
      </c>
      <c r="Q26" s="15">
        <f>'1.지출통계'!M25</f>
        <v>0</v>
      </c>
      <c r="R26" s="15">
        <f>'1.지출통계'!N25</f>
        <v>0</v>
      </c>
    </row>
    <row r="27" spans="1:18" ht="16.5" customHeight="1">
      <c r="A27" s="123"/>
      <c r="B27" s="8" t="s">
        <v>7</v>
      </c>
      <c r="C27" s="9">
        <f>'2.예산입력'!C26</f>
        <v>0</v>
      </c>
      <c r="D27" s="9">
        <f>'1.지출통계'!O26</f>
        <v>0</v>
      </c>
      <c r="E27" s="9">
        <f t="shared" si="0"/>
        <v>0</v>
      </c>
      <c r="F27" s="10" t="str">
        <f t="shared" si="1"/>
        <v>-</v>
      </c>
      <c r="G27" s="11">
        <f>'1.지출통계'!C26</f>
        <v>0</v>
      </c>
      <c r="H27" s="11">
        <f>'1.지출통계'!D26</f>
        <v>0</v>
      </c>
      <c r="I27" s="11">
        <f>'1.지출통계'!E26</f>
        <v>0</v>
      </c>
      <c r="J27" s="11">
        <f>'1.지출통계'!F26</f>
        <v>0</v>
      </c>
      <c r="K27" s="11">
        <f>'1.지출통계'!G26</f>
        <v>0</v>
      </c>
      <c r="L27" s="11">
        <f>'1.지출통계'!H26</f>
        <v>0</v>
      </c>
      <c r="M27" s="11">
        <f>'1.지출통계'!I26</f>
        <v>0</v>
      </c>
      <c r="N27" s="11">
        <f>'1.지출통계'!J26</f>
        <v>0</v>
      </c>
      <c r="O27" s="11">
        <f>'1.지출통계'!K26</f>
        <v>0</v>
      </c>
      <c r="P27" s="11">
        <f>'1.지출통계'!L26</f>
        <v>0</v>
      </c>
      <c r="Q27" s="11">
        <f>'1.지출통계'!M26</f>
        <v>0</v>
      </c>
      <c r="R27" s="11">
        <f>'1.지출통계'!N26</f>
        <v>0</v>
      </c>
    </row>
    <row r="28" spans="1:18" ht="16.5" customHeight="1">
      <c r="A28" s="123"/>
      <c r="B28" s="12" t="s">
        <v>8</v>
      </c>
      <c r="C28" s="13">
        <f>'2.예산입력'!C27</f>
        <v>0</v>
      </c>
      <c r="D28" s="13">
        <f>'1.지출통계'!O27</f>
        <v>0</v>
      </c>
      <c r="E28" s="13">
        <f t="shared" si="0"/>
        <v>0</v>
      </c>
      <c r="F28" s="14" t="str">
        <f t="shared" si="1"/>
        <v>-</v>
      </c>
      <c r="G28" s="15">
        <f>'1.지출통계'!C27</f>
        <v>0</v>
      </c>
      <c r="H28" s="15">
        <f>'1.지출통계'!D27</f>
        <v>0</v>
      </c>
      <c r="I28" s="15">
        <f>'1.지출통계'!E27</f>
        <v>0</v>
      </c>
      <c r="J28" s="15">
        <f>'1.지출통계'!F27</f>
        <v>0</v>
      </c>
      <c r="K28" s="15">
        <f>'1.지출통계'!G27</f>
        <v>0</v>
      </c>
      <c r="L28" s="15">
        <f>'1.지출통계'!H27</f>
        <v>0</v>
      </c>
      <c r="M28" s="15">
        <f>'1.지출통계'!I27</f>
        <v>0</v>
      </c>
      <c r="N28" s="15">
        <f>'1.지출통계'!J27</f>
        <v>0</v>
      </c>
      <c r="O28" s="15">
        <f>'1.지출통계'!K27</f>
        <v>0</v>
      </c>
      <c r="P28" s="15">
        <f>'1.지출통계'!L27</f>
        <v>0</v>
      </c>
      <c r="Q28" s="15">
        <f>'1.지출통계'!M27</f>
        <v>0</v>
      </c>
      <c r="R28" s="15">
        <f>'1.지출통계'!N27</f>
        <v>0</v>
      </c>
    </row>
    <row r="29" spans="1:18" ht="16.5" customHeight="1">
      <c r="A29" s="123"/>
      <c r="B29" s="8" t="s">
        <v>9</v>
      </c>
      <c r="C29" s="9">
        <f>'2.예산입력'!C28</f>
        <v>0</v>
      </c>
      <c r="D29" s="9">
        <f>'1.지출통계'!O28</f>
        <v>0</v>
      </c>
      <c r="E29" s="9">
        <f t="shared" si="0"/>
        <v>0</v>
      </c>
      <c r="F29" s="10" t="str">
        <f t="shared" si="1"/>
        <v>-</v>
      </c>
      <c r="G29" s="11">
        <f>'1.지출통계'!C28</f>
        <v>0</v>
      </c>
      <c r="H29" s="11">
        <f>'1.지출통계'!D28</f>
        <v>0</v>
      </c>
      <c r="I29" s="11">
        <f>'1.지출통계'!E28</f>
        <v>0</v>
      </c>
      <c r="J29" s="11">
        <f>'1.지출통계'!F28</f>
        <v>0</v>
      </c>
      <c r="K29" s="11">
        <f>'1.지출통계'!G28</f>
        <v>0</v>
      </c>
      <c r="L29" s="11">
        <f>'1.지출통계'!H28</f>
        <v>0</v>
      </c>
      <c r="M29" s="11">
        <f>'1.지출통계'!I28</f>
        <v>0</v>
      </c>
      <c r="N29" s="11">
        <f>'1.지출통계'!J28</f>
        <v>0</v>
      </c>
      <c r="O29" s="11">
        <f>'1.지출통계'!K28</f>
        <v>0</v>
      </c>
      <c r="P29" s="11">
        <f>'1.지출통계'!L28</f>
        <v>0</v>
      </c>
      <c r="Q29" s="11">
        <f>'1.지출통계'!M28</f>
        <v>0</v>
      </c>
      <c r="R29" s="11">
        <f>'1.지출통계'!N28</f>
        <v>0</v>
      </c>
    </row>
    <row r="30" spans="1:18" ht="16.5" customHeight="1">
      <c r="A30" s="123"/>
      <c r="B30" s="12" t="s">
        <v>10</v>
      </c>
      <c r="C30" s="13">
        <f>'2.예산입력'!C29</f>
        <v>0</v>
      </c>
      <c r="D30" s="13">
        <f>'1.지출통계'!O29</f>
        <v>0</v>
      </c>
      <c r="E30" s="13">
        <f t="shared" si="0"/>
        <v>0</v>
      </c>
      <c r="F30" s="14" t="str">
        <f t="shared" si="1"/>
        <v>-</v>
      </c>
      <c r="G30" s="15">
        <f>'1.지출통계'!C29</f>
        <v>0</v>
      </c>
      <c r="H30" s="15">
        <f>'1.지출통계'!D29</f>
        <v>0</v>
      </c>
      <c r="I30" s="15">
        <f>'1.지출통계'!E29</f>
        <v>0</v>
      </c>
      <c r="J30" s="15">
        <f>'1.지출통계'!F29</f>
        <v>0</v>
      </c>
      <c r="K30" s="15">
        <f>'1.지출통계'!G29</f>
        <v>0</v>
      </c>
      <c r="L30" s="15">
        <f>'1.지출통계'!H29</f>
        <v>0</v>
      </c>
      <c r="M30" s="15">
        <f>'1.지출통계'!I29</f>
        <v>0</v>
      </c>
      <c r="N30" s="15">
        <f>'1.지출통계'!J29</f>
        <v>0</v>
      </c>
      <c r="O30" s="15">
        <f>'1.지출통계'!K29</f>
        <v>0</v>
      </c>
      <c r="P30" s="15">
        <f>'1.지출통계'!L29</f>
        <v>0</v>
      </c>
      <c r="Q30" s="15">
        <f>'1.지출통계'!M29</f>
        <v>0</v>
      </c>
      <c r="R30" s="15">
        <f>'1.지출통계'!N29</f>
        <v>0</v>
      </c>
    </row>
    <row r="31" spans="1:18" ht="16.5" customHeight="1">
      <c r="A31" s="123"/>
      <c r="B31" s="8" t="s">
        <v>11</v>
      </c>
      <c r="C31" s="9">
        <f>'2.예산입력'!C30</f>
        <v>5</v>
      </c>
      <c r="D31" s="9">
        <f>'1.지출통계'!O30</f>
        <v>0</v>
      </c>
      <c r="E31" s="9">
        <f t="shared" si="0"/>
        <v>5</v>
      </c>
      <c r="F31" s="10" t="str">
        <f t="shared" si="1"/>
        <v>0.0%</v>
      </c>
      <c r="G31" s="11">
        <f>'1.지출통계'!C30</f>
        <v>0</v>
      </c>
      <c r="H31" s="11">
        <f>'1.지출통계'!D30</f>
        <v>0</v>
      </c>
      <c r="I31" s="11">
        <f>'1.지출통계'!E30</f>
        <v>0</v>
      </c>
      <c r="J31" s="11">
        <f>'1.지출통계'!F30</f>
        <v>0</v>
      </c>
      <c r="K31" s="11">
        <f>'1.지출통계'!G30</f>
        <v>0</v>
      </c>
      <c r="L31" s="11">
        <f>'1.지출통계'!H30</f>
        <v>0</v>
      </c>
      <c r="M31" s="11">
        <f>'1.지출통계'!I30</f>
        <v>0</v>
      </c>
      <c r="N31" s="11">
        <f>'1.지출통계'!J30</f>
        <v>0</v>
      </c>
      <c r="O31" s="11">
        <f>'1.지출통계'!K30</f>
        <v>0</v>
      </c>
      <c r="P31" s="11">
        <f>'1.지출통계'!L30</f>
        <v>0</v>
      </c>
      <c r="Q31" s="11">
        <f>'1.지출통계'!M30</f>
        <v>0</v>
      </c>
      <c r="R31" s="11">
        <f>'1.지출통계'!N30</f>
        <v>0</v>
      </c>
    </row>
    <row r="32" spans="1:18" ht="16.5" customHeight="1">
      <c r="A32" s="123"/>
      <c r="B32" s="12" t="s">
        <v>12</v>
      </c>
      <c r="C32" s="13">
        <f>'2.예산입력'!C31</f>
        <v>0</v>
      </c>
      <c r="D32" s="13">
        <f>'1.지출통계'!O31</f>
        <v>0</v>
      </c>
      <c r="E32" s="13">
        <f t="shared" si="0"/>
        <v>0</v>
      </c>
      <c r="F32" s="14" t="str">
        <f t="shared" si="1"/>
        <v>-</v>
      </c>
      <c r="G32" s="15">
        <f>'1.지출통계'!C31</f>
        <v>0</v>
      </c>
      <c r="H32" s="15">
        <f>'1.지출통계'!D31</f>
        <v>0</v>
      </c>
      <c r="I32" s="15">
        <f>'1.지출통계'!E31</f>
        <v>0</v>
      </c>
      <c r="J32" s="15">
        <f>'1.지출통계'!F31</f>
        <v>0</v>
      </c>
      <c r="K32" s="15">
        <f>'1.지출통계'!G31</f>
        <v>0</v>
      </c>
      <c r="L32" s="15">
        <f>'1.지출통계'!H31</f>
        <v>0</v>
      </c>
      <c r="M32" s="15">
        <f>'1.지출통계'!I31</f>
        <v>0</v>
      </c>
      <c r="N32" s="15">
        <f>'1.지출통계'!J31</f>
        <v>0</v>
      </c>
      <c r="O32" s="15">
        <f>'1.지출통계'!K31</f>
        <v>0</v>
      </c>
      <c r="P32" s="15">
        <f>'1.지출통계'!L31</f>
        <v>0</v>
      </c>
      <c r="Q32" s="15">
        <f>'1.지출통계'!M31</f>
        <v>0</v>
      </c>
      <c r="R32" s="15">
        <f>'1.지출통계'!N31</f>
        <v>0</v>
      </c>
    </row>
    <row r="33" spans="1:18" ht="16.5" customHeight="1">
      <c r="A33" s="123"/>
      <c r="B33" s="8" t="s">
        <v>13</v>
      </c>
      <c r="C33" s="9">
        <f>'2.예산입력'!C32</f>
        <v>0</v>
      </c>
      <c r="D33" s="9">
        <f>'1.지출통계'!O32</f>
        <v>0</v>
      </c>
      <c r="E33" s="9">
        <f t="shared" si="0"/>
        <v>0</v>
      </c>
      <c r="F33" s="10" t="str">
        <f t="shared" si="1"/>
        <v>-</v>
      </c>
      <c r="G33" s="11">
        <f>'1.지출통계'!C32</f>
        <v>0</v>
      </c>
      <c r="H33" s="11">
        <f>'1.지출통계'!D32</f>
        <v>0</v>
      </c>
      <c r="I33" s="11">
        <f>'1.지출통계'!E32</f>
        <v>0</v>
      </c>
      <c r="J33" s="11">
        <f>'1.지출통계'!F32</f>
        <v>0</v>
      </c>
      <c r="K33" s="11">
        <f>'1.지출통계'!G32</f>
        <v>0</v>
      </c>
      <c r="L33" s="11">
        <f>'1.지출통계'!H32</f>
        <v>0</v>
      </c>
      <c r="M33" s="11">
        <f>'1.지출통계'!I32</f>
        <v>0</v>
      </c>
      <c r="N33" s="11">
        <f>'1.지출통계'!J32</f>
        <v>0</v>
      </c>
      <c r="O33" s="11">
        <f>'1.지출통계'!K32</f>
        <v>0</v>
      </c>
      <c r="P33" s="11">
        <f>'1.지출통계'!L32</f>
        <v>0</v>
      </c>
      <c r="Q33" s="11">
        <f>'1.지출통계'!M32</f>
        <v>0</v>
      </c>
      <c r="R33" s="11">
        <f>'1.지출통계'!N32</f>
        <v>0</v>
      </c>
    </row>
    <row r="34" spans="1:18" ht="19.5" customHeight="1">
      <c r="A34" s="128" t="s">
        <v>18</v>
      </c>
      <c r="B34" s="128"/>
      <c r="C34" s="75">
        <f>'2.예산입력'!C33</f>
        <v>0</v>
      </c>
      <c r="D34" s="75">
        <f>'1.지출통계'!O33</f>
        <v>0</v>
      </c>
      <c r="E34" s="75">
        <f t="shared" si="0"/>
        <v>0</v>
      </c>
      <c r="F34" s="121" t="str">
        <f t="shared" si="1"/>
        <v>-</v>
      </c>
      <c r="G34" s="16">
        <f>'1.지출통계'!C33</f>
        <v>0</v>
      </c>
      <c r="H34" s="16">
        <f>'1.지출통계'!D33</f>
        <v>0</v>
      </c>
      <c r="I34" s="16">
        <f>'1.지출통계'!E33</f>
        <v>0</v>
      </c>
      <c r="J34" s="16">
        <f>'1.지출통계'!F33</f>
        <v>0</v>
      </c>
      <c r="K34" s="16">
        <f>'1.지출통계'!G33</f>
        <v>0</v>
      </c>
      <c r="L34" s="16">
        <f>'1.지출통계'!H33</f>
        <v>0</v>
      </c>
      <c r="M34" s="16">
        <f>'1.지출통계'!I33</f>
        <v>0</v>
      </c>
      <c r="N34" s="16">
        <f>'1.지출통계'!J33</f>
        <v>0</v>
      </c>
      <c r="O34" s="16">
        <f>'1.지출통계'!K33</f>
        <v>0</v>
      </c>
      <c r="P34" s="16">
        <f>'1.지출통계'!L33</f>
        <v>0</v>
      </c>
      <c r="Q34" s="16">
        <f>'1.지출통계'!M33</f>
        <v>0</v>
      </c>
      <c r="R34" s="16">
        <f>'1.지출통계'!N33</f>
        <v>0</v>
      </c>
    </row>
    <row r="35" spans="1:18" ht="16.5" customHeight="1">
      <c r="A35" s="123" t="s">
        <v>19</v>
      </c>
      <c r="B35" s="8" t="s">
        <v>5</v>
      </c>
      <c r="C35" s="9">
        <f>'2.예산입력'!C34</f>
        <v>0</v>
      </c>
      <c r="D35" s="9">
        <f>'1.지출통계'!O34</f>
        <v>0</v>
      </c>
      <c r="E35" s="9">
        <f t="shared" si="0"/>
        <v>0</v>
      </c>
      <c r="F35" s="10" t="str">
        <f t="shared" si="1"/>
        <v>-</v>
      </c>
      <c r="G35" s="11">
        <f>'1.지출통계'!C34</f>
        <v>0</v>
      </c>
      <c r="H35" s="11">
        <f>'1.지출통계'!D34</f>
        <v>0</v>
      </c>
      <c r="I35" s="11">
        <f>'1.지출통계'!E34</f>
        <v>0</v>
      </c>
      <c r="J35" s="11">
        <f>'1.지출통계'!F34</f>
        <v>0</v>
      </c>
      <c r="K35" s="11">
        <f>'1.지출통계'!G34</f>
        <v>0</v>
      </c>
      <c r="L35" s="11">
        <f>'1.지출통계'!H34</f>
        <v>0</v>
      </c>
      <c r="M35" s="11">
        <f>'1.지출통계'!I34</f>
        <v>0</v>
      </c>
      <c r="N35" s="11">
        <f>'1.지출통계'!J34</f>
        <v>0</v>
      </c>
      <c r="O35" s="11">
        <f>'1.지출통계'!K34</f>
        <v>0</v>
      </c>
      <c r="P35" s="11">
        <f>'1.지출통계'!L34</f>
        <v>0</v>
      </c>
      <c r="Q35" s="11">
        <f>'1.지출통계'!M34</f>
        <v>0</v>
      </c>
      <c r="R35" s="11">
        <f>'1.지출통계'!N34</f>
        <v>0</v>
      </c>
    </row>
    <row r="36" spans="1:18" ht="16.5" customHeight="1">
      <c r="A36" s="123"/>
      <c r="B36" s="12" t="s">
        <v>6</v>
      </c>
      <c r="C36" s="13">
        <f>'2.예산입력'!C35</f>
        <v>0</v>
      </c>
      <c r="D36" s="13">
        <f>'1.지출통계'!O35</f>
        <v>0</v>
      </c>
      <c r="E36" s="13">
        <f t="shared" si="0"/>
        <v>0</v>
      </c>
      <c r="F36" s="14" t="str">
        <f t="shared" si="1"/>
        <v>-</v>
      </c>
      <c r="G36" s="15">
        <f>'1.지출통계'!C35</f>
        <v>0</v>
      </c>
      <c r="H36" s="15">
        <f>'1.지출통계'!D35</f>
        <v>0</v>
      </c>
      <c r="I36" s="15">
        <f>'1.지출통계'!E35</f>
        <v>0</v>
      </c>
      <c r="J36" s="15">
        <f>'1.지출통계'!F35</f>
        <v>0</v>
      </c>
      <c r="K36" s="15">
        <f>'1.지출통계'!G35</f>
        <v>0</v>
      </c>
      <c r="L36" s="15">
        <f>'1.지출통계'!H35</f>
        <v>0</v>
      </c>
      <c r="M36" s="15">
        <f>'1.지출통계'!I35</f>
        <v>0</v>
      </c>
      <c r="N36" s="15">
        <f>'1.지출통계'!J35</f>
        <v>0</v>
      </c>
      <c r="O36" s="15">
        <f>'1.지출통계'!K35</f>
        <v>0</v>
      </c>
      <c r="P36" s="15">
        <f>'1.지출통계'!L35</f>
        <v>0</v>
      </c>
      <c r="Q36" s="15">
        <f>'1.지출통계'!M35</f>
        <v>0</v>
      </c>
      <c r="R36" s="15">
        <f>'1.지출통계'!N35</f>
        <v>0</v>
      </c>
    </row>
    <row r="37" spans="1:18" ht="16.5" customHeight="1">
      <c r="A37" s="123"/>
      <c r="B37" s="8" t="s">
        <v>7</v>
      </c>
      <c r="C37" s="9">
        <f>'2.예산입력'!C36</f>
        <v>0</v>
      </c>
      <c r="D37" s="9">
        <f>'1.지출통계'!O36</f>
        <v>0</v>
      </c>
      <c r="E37" s="9">
        <f t="shared" ref="E37:E55" si="2">C37-D37</f>
        <v>0</v>
      </c>
      <c r="F37" s="10" t="str">
        <f t="shared" ref="F37:F55" si="3">IF(C37=0,"-",TEXT(D37/C37,"0.0%"))</f>
        <v>-</v>
      </c>
      <c r="G37" s="11">
        <f>'1.지출통계'!C36</f>
        <v>0</v>
      </c>
      <c r="H37" s="11">
        <f>'1.지출통계'!D36</f>
        <v>0</v>
      </c>
      <c r="I37" s="11">
        <f>'1.지출통계'!E36</f>
        <v>0</v>
      </c>
      <c r="J37" s="11">
        <f>'1.지출통계'!F36</f>
        <v>0</v>
      </c>
      <c r="K37" s="11">
        <f>'1.지출통계'!G36</f>
        <v>0</v>
      </c>
      <c r="L37" s="11">
        <f>'1.지출통계'!H36</f>
        <v>0</v>
      </c>
      <c r="M37" s="11">
        <f>'1.지출통계'!I36</f>
        <v>0</v>
      </c>
      <c r="N37" s="11">
        <f>'1.지출통계'!J36</f>
        <v>0</v>
      </c>
      <c r="O37" s="11">
        <f>'1.지출통계'!K36</f>
        <v>0</v>
      </c>
      <c r="P37" s="11">
        <f>'1.지출통계'!L36</f>
        <v>0</v>
      </c>
      <c r="Q37" s="11">
        <f>'1.지출통계'!M36</f>
        <v>0</v>
      </c>
      <c r="R37" s="11">
        <f>'1.지출통계'!N36</f>
        <v>0</v>
      </c>
    </row>
    <row r="38" spans="1:18" ht="16.5" customHeight="1">
      <c r="A38" s="123"/>
      <c r="B38" s="12" t="s">
        <v>8</v>
      </c>
      <c r="C38" s="13">
        <f>'2.예산입력'!C37</f>
        <v>0</v>
      </c>
      <c r="D38" s="13">
        <f>'1.지출통계'!O37</f>
        <v>0</v>
      </c>
      <c r="E38" s="13">
        <f t="shared" si="2"/>
        <v>0</v>
      </c>
      <c r="F38" s="14" t="str">
        <f t="shared" si="3"/>
        <v>-</v>
      </c>
      <c r="G38" s="15">
        <f>'1.지출통계'!C37</f>
        <v>0</v>
      </c>
      <c r="H38" s="15">
        <f>'1.지출통계'!D37</f>
        <v>0</v>
      </c>
      <c r="I38" s="15">
        <f>'1.지출통계'!E37</f>
        <v>0</v>
      </c>
      <c r="J38" s="15">
        <f>'1.지출통계'!F37</f>
        <v>0</v>
      </c>
      <c r="K38" s="15">
        <f>'1.지출통계'!G37</f>
        <v>0</v>
      </c>
      <c r="L38" s="15">
        <f>'1.지출통계'!H37</f>
        <v>0</v>
      </c>
      <c r="M38" s="15">
        <f>'1.지출통계'!I37</f>
        <v>0</v>
      </c>
      <c r="N38" s="15">
        <f>'1.지출통계'!J37</f>
        <v>0</v>
      </c>
      <c r="O38" s="15">
        <f>'1.지출통계'!K37</f>
        <v>0</v>
      </c>
      <c r="P38" s="15">
        <f>'1.지출통계'!L37</f>
        <v>0</v>
      </c>
      <c r="Q38" s="15">
        <f>'1.지출통계'!M37</f>
        <v>0</v>
      </c>
      <c r="R38" s="15">
        <f>'1.지출통계'!N37</f>
        <v>0</v>
      </c>
    </row>
    <row r="39" spans="1:18" ht="16.5" customHeight="1">
      <c r="A39" s="123"/>
      <c r="B39" s="8" t="s">
        <v>9</v>
      </c>
      <c r="C39" s="9">
        <f>'2.예산입력'!C38</f>
        <v>0</v>
      </c>
      <c r="D39" s="9">
        <f>'1.지출통계'!O38</f>
        <v>0</v>
      </c>
      <c r="E39" s="9">
        <f t="shared" si="2"/>
        <v>0</v>
      </c>
      <c r="F39" s="10" t="str">
        <f t="shared" si="3"/>
        <v>-</v>
      </c>
      <c r="G39" s="11">
        <f>'1.지출통계'!C38</f>
        <v>0</v>
      </c>
      <c r="H39" s="11">
        <f>'1.지출통계'!D38</f>
        <v>0</v>
      </c>
      <c r="I39" s="11">
        <f>'1.지출통계'!E38</f>
        <v>0</v>
      </c>
      <c r="J39" s="11">
        <f>'1.지출통계'!F38</f>
        <v>0</v>
      </c>
      <c r="K39" s="11">
        <f>'1.지출통계'!G38</f>
        <v>0</v>
      </c>
      <c r="L39" s="11">
        <f>'1.지출통계'!H38</f>
        <v>0</v>
      </c>
      <c r="M39" s="11">
        <f>'1.지출통계'!I38</f>
        <v>0</v>
      </c>
      <c r="N39" s="11">
        <f>'1.지출통계'!J38</f>
        <v>0</v>
      </c>
      <c r="O39" s="11">
        <f>'1.지출통계'!K38</f>
        <v>0</v>
      </c>
      <c r="P39" s="11">
        <f>'1.지출통계'!L38</f>
        <v>0</v>
      </c>
      <c r="Q39" s="11">
        <f>'1.지출통계'!M38</f>
        <v>0</v>
      </c>
      <c r="R39" s="11">
        <f>'1.지출통계'!N38</f>
        <v>0</v>
      </c>
    </row>
    <row r="40" spans="1:18" ht="16.5" customHeight="1">
      <c r="A40" s="123"/>
      <c r="B40" s="12" t="s">
        <v>10</v>
      </c>
      <c r="C40" s="13">
        <f>'2.예산입력'!C39</f>
        <v>0</v>
      </c>
      <c r="D40" s="13">
        <f>'1.지출통계'!O39</f>
        <v>0</v>
      </c>
      <c r="E40" s="13">
        <f t="shared" si="2"/>
        <v>0</v>
      </c>
      <c r="F40" s="14" t="str">
        <f t="shared" si="3"/>
        <v>-</v>
      </c>
      <c r="G40" s="15">
        <f>'1.지출통계'!C39</f>
        <v>0</v>
      </c>
      <c r="H40" s="15">
        <f>'1.지출통계'!D39</f>
        <v>0</v>
      </c>
      <c r="I40" s="15">
        <f>'1.지출통계'!E39</f>
        <v>0</v>
      </c>
      <c r="J40" s="15">
        <f>'1.지출통계'!F39</f>
        <v>0</v>
      </c>
      <c r="K40" s="15">
        <f>'1.지출통계'!G39</f>
        <v>0</v>
      </c>
      <c r="L40" s="15">
        <f>'1.지출통계'!H39</f>
        <v>0</v>
      </c>
      <c r="M40" s="15">
        <f>'1.지출통계'!I39</f>
        <v>0</v>
      </c>
      <c r="N40" s="15">
        <f>'1.지출통계'!J39</f>
        <v>0</v>
      </c>
      <c r="O40" s="15">
        <f>'1.지출통계'!K39</f>
        <v>0</v>
      </c>
      <c r="P40" s="15">
        <f>'1.지출통계'!L39</f>
        <v>0</v>
      </c>
      <c r="Q40" s="15">
        <f>'1.지출통계'!M39</f>
        <v>0</v>
      </c>
      <c r="R40" s="15">
        <f>'1.지출통계'!N39</f>
        <v>0</v>
      </c>
    </row>
    <row r="41" spans="1:18" ht="16.5" customHeight="1">
      <c r="A41" s="123"/>
      <c r="B41" s="8" t="s">
        <v>11</v>
      </c>
      <c r="C41" s="9">
        <f>'2.예산입력'!C40</f>
        <v>0</v>
      </c>
      <c r="D41" s="9">
        <f>'1.지출통계'!O40</f>
        <v>0</v>
      </c>
      <c r="E41" s="9">
        <f t="shared" si="2"/>
        <v>0</v>
      </c>
      <c r="F41" s="10" t="str">
        <f t="shared" si="3"/>
        <v>-</v>
      </c>
      <c r="G41" s="11">
        <f>'1.지출통계'!C40</f>
        <v>0</v>
      </c>
      <c r="H41" s="11">
        <f>'1.지출통계'!D40</f>
        <v>0</v>
      </c>
      <c r="I41" s="11">
        <f>'1.지출통계'!E40</f>
        <v>0</v>
      </c>
      <c r="J41" s="11">
        <f>'1.지출통계'!F40</f>
        <v>0</v>
      </c>
      <c r="K41" s="11">
        <f>'1.지출통계'!G40</f>
        <v>0</v>
      </c>
      <c r="L41" s="11">
        <f>'1.지출통계'!H40</f>
        <v>0</v>
      </c>
      <c r="M41" s="11">
        <f>'1.지출통계'!I40</f>
        <v>0</v>
      </c>
      <c r="N41" s="11">
        <f>'1.지출통계'!J40</f>
        <v>0</v>
      </c>
      <c r="O41" s="11">
        <f>'1.지출통계'!K40</f>
        <v>0</v>
      </c>
      <c r="P41" s="11">
        <f>'1.지출통계'!L40</f>
        <v>0</v>
      </c>
      <c r="Q41" s="11">
        <f>'1.지출통계'!M40</f>
        <v>0</v>
      </c>
      <c r="R41" s="11">
        <f>'1.지출통계'!N40</f>
        <v>0</v>
      </c>
    </row>
    <row r="42" spans="1:18" ht="16.5" customHeight="1">
      <c r="A42" s="123"/>
      <c r="B42" s="12" t="s">
        <v>12</v>
      </c>
      <c r="C42" s="13">
        <f>'2.예산입력'!C41</f>
        <v>0</v>
      </c>
      <c r="D42" s="13">
        <f>'1.지출통계'!O41</f>
        <v>0</v>
      </c>
      <c r="E42" s="13">
        <f t="shared" si="2"/>
        <v>0</v>
      </c>
      <c r="F42" s="14" t="str">
        <f t="shared" si="3"/>
        <v>-</v>
      </c>
      <c r="G42" s="15">
        <f>'1.지출통계'!C41</f>
        <v>0</v>
      </c>
      <c r="H42" s="15">
        <f>'1.지출통계'!D41</f>
        <v>0</v>
      </c>
      <c r="I42" s="15">
        <f>'1.지출통계'!E41</f>
        <v>0</v>
      </c>
      <c r="J42" s="15">
        <f>'1.지출통계'!F41</f>
        <v>0</v>
      </c>
      <c r="K42" s="15">
        <f>'1.지출통계'!G41</f>
        <v>0</v>
      </c>
      <c r="L42" s="15">
        <f>'1.지출통계'!H41</f>
        <v>0</v>
      </c>
      <c r="M42" s="15">
        <f>'1.지출통계'!I41</f>
        <v>0</v>
      </c>
      <c r="N42" s="15">
        <f>'1.지출통계'!J41</f>
        <v>0</v>
      </c>
      <c r="O42" s="15">
        <f>'1.지출통계'!K41</f>
        <v>0</v>
      </c>
      <c r="P42" s="15">
        <f>'1.지출통계'!L41</f>
        <v>0</v>
      </c>
      <c r="Q42" s="15">
        <f>'1.지출통계'!M41</f>
        <v>0</v>
      </c>
      <c r="R42" s="15">
        <f>'1.지출통계'!N41</f>
        <v>0</v>
      </c>
    </row>
    <row r="43" spans="1:18" ht="16.5" customHeight="1">
      <c r="A43" s="123"/>
      <c r="B43" s="8" t="s">
        <v>13</v>
      </c>
      <c r="C43" s="9">
        <f>'2.예산입력'!C42</f>
        <v>0</v>
      </c>
      <c r="D43" s="9">
        <f>'1.지출통계'!O42</f>
        <v>0</v>
      </c>
      <c r="E43" s="9">
        <f t="shared" si="2"/>
        <v>0</v>
      </c>
      <c r="F43" s="10" t="str">
        <f t="shared" si="3"/>
        <v>-</v>
      </c>
      <c r="G43" s="11">
        <f>'1.지출통계'!C42</f>
        <v>0</v>
      </c>
      <c r="H43" s="11">
        <f>'1.지출통계'!D42</f>
        <v>0</v>
      </c>
      <c r="I43" s="11">
        <f>'1.지출통계'!E42</f>
        <v>0</v>
      </c>
      <c r="J43" s="11">
        <f>'1.지출통계'!F42</f>
        <v>0</v>
      </c>
      <c r="K43" s="11">
        <f>'1.지출통계'!G42</f>
        <v>0</v>
      </c>
      <c r="L43" s="11">
        <f>'1.지출통계'!H42</f>
        <v>0</v>
      </c>
      <c r="M43" s="11">
        <f>'1.지출통계'!I42</f>
        <v>0</v>
      </c>
      <c r="N43" s="11">
        <f>'1.지출통계'!J42</f>
        <v>0</v>
      </c>
      <c r="O43" s="11">
        <f>'1.지출통계'!K42</f>
        <v>0</v>
      </c>
      <c r="P43" s="11">
        <f>'1.지출통계'!L42</f>
        <v>0</v>
      </c>
      <c r="Q43" s="11">
        <f>'1.지출통계'!M42</f>
        <v>0</v>
      </c>
      <c r="R43" s="11">
        <f>'1.지출통계'!N42</f>
        <v>0</v>
      </c>
    </row>
    <row r="44" spans="1:18" ht="19.5" customHeight="1">
      <c r="A44" s="128" t="s">
        <v>20</v>
      </c>
      <c r="B44" s="128"/>
      <c r="C44" s="75">
        <f>'2.예산입력'!C43</f>
        <v>0</v>
      </c>
      <c r="D44" s="75">
        <f>'1.지출통계'!O43</f>
        <v>0</v>
      </c>
      <c r="E44" s="75">
        <f t="shared" si="2"/>
        <v>0</v>
      </c>
      <c r="F44" s="121" t="str">
        <f t="shared" si="3"/>
        <v>-</v>
      </c>
      <c r="G44" s="16">
        <f>'1.지출통계'!C43</f>
        <v>0</v>
      </c>
      <c r="H44" s="16">
        <f>'1.지출통계'!D43</f>
        <v>0</v>
      </c>
      <c r="I44" s="16">
        <f>'1.지출통계'!E43</f>
        <v>0</v>
      </c>
      <c r="J44" s="16">
        <f>'1.지출통계'!F43</f>
        <v>0</v>
      </c>
      <c r="K44" s="16">
        <f>'1.지출통계'!G43</f>
        <v>0</v>
      </c>
      <c r="L44" s="16">
        <f>'1.지출통계'!H43</f>
        <v>0</v>
      </c>
      <c r="M44" s="16">
        <f>'1.지출통계'!I43</f>
        <v>0</v>
      </c>
      <c r="N44" s="16">
        <f>'1.지출통계'!J43</f>
        <v>0</v>
      </c>
      <c r="O44" s="16">
        <f>'1.지출통계'!K43</f>
        <v>0</v>
      </c>
      <c r="P44" s="16">
        <f>'1.지출통계'!L43</f>
        <v>0</v>
      </c>
      <c r="Q44" s="16">
        <f>'1.지출통계'!M43</f>
        <v>0</v>
      </c>
      <c r="R44" s="16">
        <f>'1.지출통계'!N43</f>
        <v>0</v>
      </c>
    </row>
    <row r="45" spans="1:18" ht="16.5" customHeight="1">
      <c r="A45" s="123" t="s">
        <v>21</v>
      </c>
      <c r="B45" s="8" t="s">
        <v>5</v>
      </c>
      <c r="C45" s="9">
        <f>'2.예산입력'!C44</f>
        <v>0</v>
      </c>
      <c r="D45" s="9">
        <f>'1.지출통계'!O44</f>
        <v>14421000</v>
      </c>
      <c r="E45" s="9">
        <f t="shared" si="2"/>
        <v>-14421000</v>
      </c>
      <c r="F45" s="10" t="str">
        <f t="shared" si="3"/>
        <v>-</v>
      </c>
      <c r="G45" s="11">
        <f>'1.지출통계'!C44</f>
        <v>2633400</v>
      </c>
      <c r="H45" s="11">
        <f>'1.지출통계'!D44</f>
        <v>2633400</v>
      </c>
      <c r="I45" s="11">
        <f>'1.지출통계'!E44</f>
        <v>2633400</v>
      </c>
      <c r="J45" s="11">
        <f>'1.지출통계'!F44</f>
        <v>2633400</v>
      </c>
      <c r="K45" s="11">
        <f>'1.지출통계'!G44</f>
        <v>2633400</v>
      </c>
      <c r="L45" s="11">
        <f>'1.지출통계'!H44</f>
        <v>1254000</v>
      </c>
      <c r="M45" s="11">
        <f>'1.지출통계'!I44</f>
        <v>0</v>
      </c>
      <c r="N45" s="11">
        <f>'1.지출통계'!J44</f>
        <v>0</v>
      </c>
      <c r="O45" s="11">
        <f>'1.지출통계'!K44</f>
        <v>0</v>
      </c>
      <c r="P45" s="11">
        <f>'1.지출통계'!L44</f>
        <v>0</v>
      </c>
      <c r="Q45" s="11">
        <f>'1.지출통계'!M44</f>
        <v>0</v>
      </c>
      <c r="R45" s="11">
        <f>'1.지출통계'!N44</f>
        <v>0</v>
      </c>
    </row>
    <row r="46" spans="1:18" ht="16.5" customHeight="1">
      <c r="A46" s="123"/>
      <c r="B46" s="12" t="s">
        <v>6</v>
      </c>
      <c r="C46" s="13">
        <f>'2.예산입력'!C45</f>
        <v>0</v>
      </c>
      <c r="D46" s="13">
        <f>'1.지출통계'!O45</f>
        <v>0</v>
      </c>
      <c r="E46" s="13">
        <f t="shared" si="2"/>
        <v>0</v>
      </c>
      <c r="F46" s="14" t="str">
        <f t="shared" si="3"/>
        <v>-</v>
      </c>
      <c r="G46" s="15">
        <f>'1.지출통계'!C45</f>
        <v>0</v>
      </c>
      <c r="H46" s="15">
        <f>'1.지출통계'!D45</f>
        <v>0</v>
      </c>
      <c r="I46" s="15">
        <f>'1.지출통계'!E45</f>
        <v>0</v>
      </c>
      <c r="J46" s="15">
        <f>'1.지출통계'!F45</f>
        <v>0</v>
      </c>
      <c r="K46" s="15">
        <f>'1.지출통계'!G45</f>
        <v>0</v>
      </c>
      <c r="L46" s="15">
        <f>'1.지출통계'!H45</f>
        <v>0</v>
      </c>
      <c r="M46" s="15">
        <f>'1.지출통계'!I45</f>
        <v>0</v>
      </c>
      <c r="N46" s="15">
        <f>'1.지출통계'!J45</f>
        <v>0</v>
      </c>
      <c r="O46" s="15">
        <f>'1.지출통계'!K45</f>
        <v>0</v>
      </c>
      <c r="P46" s="15">
        <f>'1.지출통계'!L45</f>
        <v>0</v>
      </c>
      <c r="Q46" s="15">
        <f>'1.지출통계'!M45</f>
        <v>0</v>
      </c>
      <c r="R46" s="15">
        <f>'1.지출통계'!N45</f>
        <v>0</v>
      </c>
    </row>
    <row r="47" spans="1:18" ht="16.5" customHeight="1">
      <c r="A47" s="123"/>
      <c r="B47" s="8" t="s">
        <v>7</v>
      </c>
      <c r="C47" s="9">
        <f>'2.예산입력'!C46</f>
        <v>40000000</v>
      </c>
      <c r="D47" s="9">
        <f>'1.지출통계'!O46</f>
        <v>5839540</v>
      </c>
      <c r="E47" s="9">
        <f t="shared" si="2"/>
        <v>34160460</v>
      </c>
      <c r="F47" s="10" t="str">
        <f t="shared" si="3"/>
        <v>14.6%</v>
      </c>
      <c r="G47" s="11">
        <f>'1.지출통계'!C46</f>
        <v>0</v>
      </c>
      <c r="H47" s="11">
        <f>'1.지출통계'!D46</f>
        <v>2430000</v>
      </c>
      <c r="I47" s="11">
        <f>'1.지출통계'!E46</f>
        <v>383240</v>
      </c>
      <c r="J47" s="11">
        <f>'1.지출통계'!F46</f>
        <v>741100</v>
      </c>
      <c r="K47" s="11">
        <f>'1.지출통계'!G46</f>
        <v>775000</v>
      </c>
      <c r="L47" s="11">
        <f>'1.지출통계'!H46</f>
        <v>1510200</v>
      </c>
      <c r="M47" s="11">
        <f>'1.지출통계'!I46</f>
        <v>0</v>
      </c>
      <c r="N47" s="11">
        <f>'1.지출통계'!J46</f>
        <v>0</v>
      </c>
      <c r="O47" s="11">
        <f>'1.지출통계'!K46</f>
        <v>0</v>
      </c>
      <c r="P47" s="11">
        <f>'1.지출통계'!L46</f>
        <v>0</v>
      </c>
      <c r="Q47" s="11">
        <f>'1.지출통계'!M46</f>
        <v>0</v>
      </c>
      <c r="R47" s="11">
        <f>'1.지출통계'!N46</f>
        <v>0</v>
      </c>
    </row>
    <row r="48" spans="1:18" ht="16.5" customHeight="1">
      <c r="A48" s="123"/>
      <c r="B48" s="12" t="s">
        <v>8</v>
      </c>
      <c r="C48" s="13">
        <f>'2.예산입력'!C47</f>
        <v>0</v>
      </c>
      <c r="D48" s="13">
        <f>'1.지출통계'!O47</f>
        <v>0</v>
      </c>
      <c r="E48" s="13">
        <f t="shared" si="2"/>
        <v>0</v>
      </c>
      <c r="F48" s="14" t="str">
        <f t="shared" si="3"/>
        <v>-</v>
      </c>
      <c r="G48" s="15">
        <f>'1.지출통계'!C47</f>
        <v>0</v>
      </c>
      <c r="H48" s="15">
        <f>'1.지출통계'!D47</f>
        <v>0</v>
      </c>
      <c r="I48" s="15">
        <f>'1.지출통계'!E47</f>
        <v>0</v>
      </c>
      <c r="J48" s="15">
        <f>'1.지출통계'!F47</f>
        <v>0</v>
      </c>
      <c r="K48" s="15">
        <f>'1.지출통계'!G47</f>
        <v>0</v>
      </c>
      <c r="L48" s="15">
        <f>'1.지출통계'!H47</f>
        <v>0</v>
      </c>
      <c r="M48" s="15">
        <f>'1.지출통계'!I47</f>
        <v>0</v>
      </c>
      <c r="N48" s="15">
        <f>'1.지출통계'!J47</f>
        <v>0</v>
      </c>
      <c r="O48" s="15">
        <f>'1.지출통계'!K47</f>
        <v>0</v>
      </c>
      <c r="P48" s="15">
        <f>'1.지출통계'!L47</f>
        <v>0</v>
      </c>
      <c r="Q48" s="15">
        <f>'1.지출통계'!M47</f>
        <v>0</v>
      </c>
      <c r="R48" s="15">
        <f>'1.지출통계'!N47</f>
        <v>0</v>
      </c>
    </row>
    <row r="49" spans="1:18" ht="16.5" customHeight="1">
      <c r="A49" s="123"/>
      <c r="B49" s="8" t="s">
        <v>9</v>
      </c>
      <c r="C49" s="9">
        <f>'2.예산입력'!C48</f>
        <v>0</v>
      </c>
      <c r="D49" s="9">
        <f>'1.지출통계'!O48</f>
        <v>540000</v>
      </c>
      <c r="E49" s="9">
        <f t="shared" si="2"/>
        <v>-540000</v>
      </c>
      <c r="F49" s="10" t="str">
        <f t="shared" si="3"/>
        <v>-</v>
      </c>
      <c r="G49" s="11">
        <f>'1.지출통계'!C48</f>
        <v>0</v>
      </c>
      <c r="H49" s="11">
        <f>'1.지출통계'!D48</f>
        <v>0</v>
      </c>
      <c r="I49" s="11">
        <f>'1.지출통계'!E48</f>
        <v>120000</v>
      </c>
      <c r="J49" s="11">
        <f>'1.지출통계'!F48</f>
        <v>150000</v>
      </c>
      <c r="K49" s="11">
        <f>'1.지출통계'!G48</f>
        <v>270000</v>
      </c>
      <c r="L49" s="11">
        <f>'1.지출통계'!H48</f>
        <v>0</v>
      </c>
      <c r="M49" s="11">
        <f>'1.지출통계'!I48</f>
        <v>0</v>
      </c>
      <c r="N49" s="11">
        <f>'1.지출통계'!J48</f>
        <v>0</v>
      </c>
      <c r="O49" s="11">
        <f>'1.지출통계'!K48</f>
        <v>0</v>
      </c>
      <c r="P49" s="11">
        <f>'1.지출통계'!L48</f>
        <v>0</v>
      </c>
      <c r="Q49" s="11">
        <f>'1.지출통계'!M48</f>
        <v>0</v>
      </c>
      <c r="R49" s="11">
        <f>'1.지출통계'!N48</f>
        <v>0</v>
      </c>
    </row>
    <row r="50" spans="1:18" ht="16.5" customHeight="1">
      <c r="A50" s="123"/>
      <c r="B50" s="12" t="s">
        <v>10</v>
      </c>
      <c r="C50" s="13">
        <f>'2.예산입력'!C49</f>
        <v>0</v>
      </c>
      <c r="D50" s="13">
        <f>'1.지출통계'!O49</f>
        <v>0</v>
      </c>
      <c r="E50" s="13">
        <f t="shared" si="2"/>
        <v>0</v>
      </c>
      <c r="F50" s="14" t="str">
        <f t="shared" si="3"/>
        <v>-</v>
      </c>
      <c r="G50" s="15">
        <f>'1.지출통계'!C49</f>
        <v>0</v>
      </c>
      <c r="H50" s="15">
        <f>'1.지출통계'!D49</f>
        <v>0</v>
      </c>
      <c r="I50" s="15">
        <f>'1.지출통계'!E49</f>
        <v>0</v>
      </c>
      <c r="J50" s="15">
        <f>'1.지출통계'!F49</f>
        <v>0</v>
      </c>
      <c r="K50" s="15">
        <f>'1.지출통계'!G49</f>
        <v>0</v>
      </c>
      <c r="L50" s="15">
        <f>'1.지출통계'!H49</f>
        <v>0</v>
      </c>
      <c r="M50" s="15">
        <f>'1.지출통계'!I49</f>
        <v>0</v>
      </c>
      <c r="N50" s="15">
        <f>'1.지출통계'!J49</f>
        <v>0</v>
      </c>
      <c r="O50" s="15">
        <f>'1.지출통계'!K49</f>
        <v>0</v>
      </c>
      <c r="P50" s="15">
        <f>'1.지출통계'!L49</f>
        <v>0</v>
      </c>
      <c r="Q50" s="15">
        <f>'1.지출통계'!M49</f>
        <v>0</v>
      </c>
      <c r="R50" s="15">
        <f>'1.지출통계'!N49</f>
        <v>0</v>
      </c>
    </row>
    <row r="51" spans="1:18" ht="16.5" customHeight="1">
      <c r="A51" s="123"/>
      <c r="B51" s="8" t="s">
        <v>11</v>
      </c>
      <c r="C51" s="9">
        <f>'2.예산입력'!C50</f>
        <v>0</v>
      </c>
      <c r="D51" s="9">
        <f>'1.지출통계'!O50</f>
        <v>0</v>
      </c>
      <c r="E51" s="9">
        <f t="shared" si="2"/>
        <v>0</v>
      </c>
      <c r="F51" s="10" t="str">
        <f t="shared" si="3"/>
        <v>-</v>
      </c>
      <c r="G51" s="11">
        <f>'1.지출통계'!C50</f>
        <v>0</v>
      </c>
      <c r="H51" s="11">
        <f>'1.지출통계'!D50</f>
        <v>0</v>
      </c>
      <c r="I51" s="11">
        <f>'1.지출통계'!E50</f>
        <v>0</v>
      </c>
      <c r="J51" s="11">
        <f>'1.지출통계'!F50</f>
        <v>0</v>
      </c>
      <c r="K51" s="11">
        <f>'1.지출통계'!G50</f>
        <v>0</v>
      </c>
      <c r="L51" s="11">
        <f>'1.지출통계'!H50</f>
        <v>0</v>
      </c>
      <c r="M51" s="11">
        <f>'1.지출통계'!I50</f>
        <v>0</v>
      </c>
      <c r="N51" s="11">
        <f>'1.지출통계'!J50</f>
        <v>0</v>
      </c>
      <c r="O51" s="11">
        <f>'1.지출통계'!K50</f>
        <v>0</v>
      </c>
      <c r="P51" s="11">
        <f>'1.지출통계'!L50</f>
        <v>0</v>
      </c>
      <c r="Q51" s="11">
        <f>'1.지출통계'!M50</f>
        <v>0</v>
      </c>
      <c r="R51" s="11">
        <f>'1.지출통계'!N50</f>
        <v>0</v>
      </c>
    </row>
    <row r="52" spans="1:18" ht="16.5" customHeight="1">
      <c r="A52" s="123"/>
      <c r="B52" s="12" t="s">
        <v>12</v>
      </c>
      <c r="C52" s="13">
        <f>'2.예산입력'!C51</f>
        <v>0</v>
      </c>
      <c r="D52" s="13">
        <f>'1.지출통계'!O51</f>
        <v>0</v>
      </c>
      <c r="E52" s="13">
        <f t="shared" si="2"/>
        <v>0</v>
      </c>
      <c r="F52" s="14" t="str">
        <f t="shared" si="3"/>
        <v>-</v>
      </c>
      <c r="G52" s="15">
        <f>'1.지출통계'!C51</f>
        <v>0</v>
      </c>
      <c r="H52" s="15">
        <f>'1.지출통계'!D51</f>
        <v>0</v>
      </c>
      <c r="I52" s="15">
        <f>'1.지출통계'!E51</f>
        <v>0</v>
      </c>
      <c r="J52" s="15">
        <f>'1.지출통계'!F51</f>
        <v>0</v>
      </c>
      <c r="K52" s="15">
        <f>'1.지출통계'!G51</f>
        <v>0</v>
      </c>
      <c r="L52" s="15">
        <f>'1.지출통계'!H51</f>
        <v>0</v>
      </c>
      <c r="M52" s="15">
        <f>'1.지출통계'!I51</f>
        <v>0</v>
      </c>
      <c r="N52" s="15">
        <f>'1.지출통계'!J51</f>
        <v>0</v>
      </c>
      <c r="O52" s="15">
        <f>'1.지출통계'!K51</f>
        <v>0</v>
      </c>
      <c r="P52" s="15">
        <f>'1.지출통계'!L51</f>
        <v>0</v>
      </c>
      <c r="Q52" s="15">
        <f>'1.지출통계'!M51</f>
        <v>0</v>
      </c>
      <c r="R52" s="15">
        <f>'1.지출통계'!N51</f>
        <v>0</v>
      </c>
    </row>
    <row r="53" spans="1:18" ht="16.5" customHeight="1">
      <c r="A53" s="123"/>
      <c r="B53" s="8" t="s">
        <v>13</v>
      </c>
      <c r="C53" s="9">
        <f>'2.예산입력'!C52</f>
        <v>0</v>
      </c>
      <c r="D53" s="9">
        <f>'1.지출통계'!O52</f>
        <v>3682800</v>
      </c>
      <c r="E53" s="9">
        <f t="shared" si="2"/>
        <v>-3682800</v>
      </c>
      <c r="F53" s="10" t="str">
        <f t="shared" si="3"/>
        <v>-</v>
      </c>
      <c r="G53" s="11">
        <f>'1.지출통계'!C52</f>
        <v>0</v>
      </c>
      <c r="H53" s="11">
        <f>'1.지출통계'!D52</f>
        <v>0</v>
      </c>
      <c r="I53" s="11">
        <f>'1.지출통계'!E52</f>
        <v>0</v>
      </c>
      <c r="J53" s="11">
        <f>'1.지출통계'!F52</f>
        <v>3682800</v>
      </c>
      <c r="K53" s="11">
        <f>'1.지출통계'!G52</f>
        <v>0</v>
      </c>
      <c r="L53" s="11">
        <f>'1.지출통계'!H52</f>
        <v>0</v>
      </c>
      <c r="M53" s="11">
        <f>'1.지출통계'!I52</f>
        <v>0</v>
      </c>
      <c r="N53" s="11">
        <f>'1.지출통계'!J52</f>
        <v>0</v>
      </c>
      <c r="O53" s="11">
        <f>'1.지출통계'!K52</f>
        <v>0</v>
      </c>
      <c r="P53" s="11">
        <f>'1.지출통계'!L52</f>
        <v>0</v>
      </c>
      <c r="Q53" s="11">
        <f>'1.지출통계'!M52</f>
        <v>0</v>
      </c>
      <c r="R53" s="11">
        <f>'1.지출통계'!N52</f>
        <v>0</v>
      </c>
    </row>
    <row r="54" spans="1:18" ht="19.5" customHeight="1">
      <c r="A54" s="128" t="s">
        <v>22</v>
      </c>
      <c r="B54" s="128"/>
      <c r="C54" s="75">
        <f>'2.예산입력'!C53</f>
        <v>40000000</v>
      </c>
      <c r="D54" s="75">
        <f>'1.지출통계'!O53</f>
        <v>24483340</v>
      </c>
      <c r="E54" s="75">
        <f t="shared" si="2"/>
        <v>15516660</v>
      </c>
      <c r="F54" s="121" t="str">
        <f t="shared" si="3"/>
        <v>61.2%</v>
      </c>
      <c r="G54" s="16">
        <f>'1.지출통계'!C53</f>
        <v>2633400</v>
      </c>
      <c r="H54" s="16">
        <f>'1.지출통계'!D53</f>
        <v>5063400</v>
      </c>
      <c r="I54" s="16">
        <f>'1.지출통계'!E53</f>
        <v>3136640</v>
      </c>
      <c r="J54" s="16">
        <f>'1.지출통계'!F53</f>
        <v>7207300</v>
      </c>
      <c r="K54" s="16">
        <f>'1.지출통계'!G53</f>
        <v>3678400</v>
      </c>
      <c r="L54" s="16">
        <f>'1.지출통계'!H53</f>
        <v>2764200</v>
      </c>
      <c r="M54" s="16">
        <f>'1.지출통계'!I53</f>
        <v>0</v>
      </c>
      <c r="N54" s="16">
        <f>'1.지출통계'!J53</f>
        <v>0</v>
      </c>
      <c r="O54" s="16">
        <f>'1.지출통계'!K53</f>
        <v>0</v>
      </c>
      <c r="P54" s="16">
        <f>'1.지출통계'!L53</f>
        <v>0</v>
      </c>
      <c r="Q54" s="16">
        <f>'1.지출통계'!M53</f>
        <v>0</v>
      </c>
      <c r="R54" s="16">
        <f>'1.지출통계'!N53</f>
        <v>0</v>
      </c>
    </row>
    <row r="55" spans="1:18" ht="25.5" hidden="1" customHeight="1">
      <c r="A55" s="129" t="s">
        <v>34</v>
      </c>
      <c r="B55" s="129"/>
      <c r="C55" s="17">
        <f>'2.예산입력'!C54</f>
        <v>40000000</v>
      </c>
      <c r="D55" s="17">
        <f>'1.지출통계'!O54</f>
        <v>24483340</v>
      </c>
      <c r="E55" s="17">
        <f t="shared" si="2"/>
        <v>15516660</v>
      </c>
      <c r="F55" s="18" t="str">
        <f t="shared" si="3"/>
        <v>61.2%</v>
      </c>
      <c r="G55" s="19">
        <f>'1.지출통계'!C54</f>
        <v>2633400</v>
      </c>
      <c r="H55" s="19">
        <f>'1.지출통계'!D54</f>
        <v>5063400</v>
      </c>
      <c r="I55" s="19">
        <f>'1.지출통계'!E54</f>
        <v>3136640</v>
      </c>
      <c r="J55" s="19">
        <f>'1.지출통계'!F54</f>
        <v>7207300</v>
      </c>
      <c r="K55" s="19">
        <f>'1.지출통계'!G54</f>
        <v>3678400</v>
      </c>
      <c r="L55" s="19">
        <f>'1.지출통계'!H54</f>
        <v>2764200</v>
      </c>
      <c r="M55" s="19">
        <f>'1.지출통계'!I54</f>
        <v>0</v>
      </c>
      <c r="N55" s="19">
        <f>'1.지출통계'!J54</f>
        <v>0</v>
      </c>
      <c r="O55" s="19">
        <f>'1.지출통계'!K54</f>
        <v>0</v>
      </c>
      <c r="P55" s="19">
        <f>'1.지출통계'!L54</f>
        <v>0</v>
      </c>
      <c r="Q55" s="19">
        <f>'1.지출통계'!M54</f>
        <v>0</v>
      </c>
      <c r="R55" s="19">
        <f>'1.지출통계'!N54</f>
        <v>0</v>
      </c>
    </row>
  </sheetData>
  <mergeCells count="20">
    <mergeCell ref="A1:R1"/>
    <mergeCell ref="A2:R2"/>
    <mergeCell ref="A3:A4"/>
    <mergeCell ref="B3:B4"/>
    <mergeCell ref="C3:C4"/>
    <mergeCell ref="D3:D4"/>
    <mergeCell ref="E3:E4"/>
    <mergeCell ref="F3:F4"/>
    <mergeCell ref="G3:R3"/>
    <mergeCell ref="A5:A13"/>
    <mergeCell ref="A14:B14"/>
    <mergeCell ref="A15:A23"/>
    <mergeCell ref="A24:B24"/>
    <mergeCell ref="A25:A33"/>
    <mergeCell ref="A55:B55"/>
    <mergeCell ref="A34:B34"/>
    <mergeCell ref="A35:A43"/>
    <mergeCell ref="A44:B44"/>
    <mergeCell ref="A45:A53"/>
    <mergeCell ref="A54:B54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showGridLines="0" zoomScaleNormal="100" workbookViewId="0">
      <selection activeCell="G14" sqref="G14"/>
    </sheetView>
  </sheetViews>
  <sheetFormatPr defaultColWidth="8.5" defaultRowHeight="17.25"/>
  <cols>
    <col min="1" max="3" width="16" style="6" customWidth="1"/>
    <col min="4" max="4" width="12" style="6" customWidth="1"/>
    <col min="5" max="5" width="14" style="6" customWidth="1"/>
    <col min="6" max="6" width="12" style="6" customWidth="1"/>
    <col min="7" max="7" width="14" style="6" customWidth="1"/>
    <col min="8" max="16384" width="8.5" style="20"/>
  </cols>
  <sheetData>
    <row r="1" spans="1:7" ht="36" customHeight="1">
      <c r="A1" s="126" t="s">
        <v>64</v>
      </c>
      <c r="B1" s="126"/>
      <c r="C1" s="126"/>
      <c r="D1" s="126"/>
      <c r="E1" s="126"/>
      <c r="F1" s="126"/>
      <c r="G1" s="70"/>
    </row>
    <row r="2" spans="1:7" ht="19.5" customHeight="1">
      <c r="A2" s="133" t="s">
        <v>62</v>
      </c>
      <c r="B2" s="133"/>
      <c r="C2" s="133"/>
      <c r="D2" s="133"/>
      <c r="E2" s="133"/>
      <c r="F2" s="133"/>
      <c r="G2" s="20"/>
    </row>
    <row r="3" spans="1:7" ht="21.75" customHeight="1" thickBot="1">
      <c r="A3" s="134" t="s">
        <v>35</v>
      </c>
      <c r="B3" s="134"/>
      <c r="C3" s="134"/>
      <c r="D3" s="134"/>
      <c r="E3" s="134"/>
      <c r="F3" s="134"/>
      <c r="G3" s="20"/>
    </row>
    <row r="4" spans="1:7" ht="21.75" customHeight="1" thickBot="1">
      <c r="A4" s="21" t="s">
        <v>0</v>
      </c>
      <c r="B4" s="21" t="s">
        <v>36</v>
      </c>
      <c r="C4" s="21" t="s">
        <v>37</v>
      </c>
      <c r="D4" s="21" t="s">
        <v>31</v>
      </c>
      <c r="E4" s="21" t="s">
        <v>63</v>
      </c>
      <c r="F4" s="21" t="s">
        <v>38</v>
      </c>
    </row>
    <row r="5" spans="1:7" ht="21.75" customHeight="1">
      <c r="A5" s="22" t="s">
        <v>4</v>
      </c>
      <c r="B5" s="23">
        <f>'3.예산대비_지출통계'!C14</f>
        <v>0</v>
      </c>
      <c r="C5" s="24">
        <f>'3.예산대비_지출통계'!D14</f>
        <v>0</v>
      </c>
      <c r="D5" s="25">
        <f t="shared" ref="D5:D10" si="0">B5-C5</f>
        <v>0</v>
      </c>
      <c r="E5" s="26" t="str">
        <f t="shared" ref="E5:E10" si="1">IF(B5=0,"-",TEXT(C5/B5,"0.0%"))</f>
        <v>-</v>
      </c>
      <c r="F5" s="27" t="str">
        <f t="shared" ref="F5:F10" si="2">IF(B5=0,"예산 미입력",REPT("■",ROUND(IF(B5=0,0,C5/B5)*20,0))&amp;" "&amp;IF(B5=0,"-",TEXT(C5/B5,"0%")))</f>
        <v>예산 미입력</v>
      </c>
    </row>
    <row r="6" spans="1:7" ht="21.75" customHeight="1">
      <c r="A6" s="28" t="s">
        <v>15</v>
      </c>
      <c r="B6" s="29">
        <f>'3.예산대비_지출통계'!C24</f>
        <v>0</v>
      </c>
      <c r="C6" s="30">
        <f>'3.예산대비_지출통계'!D24</f>
        <v>0</v>
      </c>
      <c r="D6" s="31">
        <f t="shared" si="0"/>
        <v>0</v>
      </c>
      <c r="E6" s="32" t="str">
        <f t="shared" si="1"/>
        <v>-</v>
      </c>
      <c r="F6" s="33" t="str">
        <f t="shared" si="2"/>
        <v>예산 미입력</v>
      </c>
    </row>
    <row r="7" spans="1:7" ht="21.75" customHeight="1">
      <c r="A7" s="34" t="s">
        <v>17</v>
      </c>
      <c r="B7" s="35">
        <f>'3.예산대비_지출통계'!C34</f>
        <v>0</v>
      </c>
      <c r="C7" s="36">
        <f>'3.예산대비_지출통계'!D34</f>
        <v>0</v>
      </c>
      <c r="D7" s="37">
        <f t="shared" si="0"/>
        <v>0</v>
      </c>
      <c r="E7" s="38" t="str">
        <f t="shared" si="1"/>
        <v>-</v>
      </c>
      <c r="F7" s="39" t="str">
        <f t="shared" si="2"/>
        <v>예산 미입력</v>
      </c>
    </row>
    <row r="8" spans="1:7" ht="21.75" customHeight="1">
      <c r="A8" s="40" t="s">
        <v>19</v>
      </c>
      <c r="B8" s="41">
        <f>'3.예산대비_지출통계'!C44</f>
        <v>0</v>
      </c>
      <c r="C8" s="42">
        <f>'3.예산대비_지출통계'!D44</f>
        <v>0</v>
      </c>
      <c r="D8" s="43">
        <f t="shared" si="0"/>
        <v>0</v>
      </c>
      <c r="E8" s="44" t="str">
        <f t="shared" si="1"/>
        <v>-</v>
      </c>
      <c r="F8" s="45" t="str">
        <f t="shared" si="2"/>
        <v>예산 미입력</v>
      </c>
    </row>
    <row r="9" spans="1:7" ht="21.75" customHeight="1">
      <c r="A9" s="46" t="s">
        <v>21</v>
      </c>
      <c r="B9" s="47">
        <f>'3.예산대비_지출통계'!C54</f>
        <v>40000000</v>
      </c>
      <c r="C9" s="48">
        <f>'3.예산대비_지출통계'!D54</f>
        <v>24483340</v>
      </c>
      <c r="D9" s="49">
        <f t="shared" si="0"/>
        <v>15516660</v>
      </c>
      <c r="E9" s="50" t="str">
        <f t="shared" si="1"/>
        <v>61.2%</v>
      </c>
      <c r="F9" s="51" t="str">
        <f t="shared" si="2"/>
        <v>■■■■■■■■■■■■ 61%</v>
      </c>
    </row>
    <row r="10" spans="1:7" ht="25.5" customHeight="1">
      <c r="A10" s="52" t="s">
        <v>34</v>
      </c>
      <c r="B10" s="53">
        <f>SUM(B5:B9)</f>
        <v>40000000</v>
      </c>
      <c r="C10" s="53">
        <f>SUM(C5:C9)</f>
        <v>24483340</v>
      </c>
      <c r="D10" s="53">
        <f t="shared" si="0"/>
        <v>15516660</v>
      </c>
      <c r="E10" s="52" t="str">
        <f t="shared" si="1"/>
        <v>61.2%</v>
      </c>
      <c r="F10" s="54" t="str">
        <f t="shared" si="2"/>
        <v>■■■■■■■■■■■■ 61%</v>
      </c>
    </row>
    <row r="12" spans="1:7" ht="21.75" customHeight="1" thickBot="1">
      <c r="A12" s="134" t="s">
        <v>39</v>
      </c>
      <c r="B12" s="134"/>
      <c r="C12" s="134"/>
      <c r="D12" s="134"/>
      <c r="E12" s="134"/>
      <c r="F12" s="134"/>
      <c r="G12" s="20"/>
    </row>
    <row r="13" spans="1:7" ht="21.75" customHeight="1" thickBot="1">
      <c r="A13" s="21" t="s">
        <v>1</v>
      </c>
      <c r="B13" s="21" t="s">
        <v>40</v>
      </c>
      <c r="C13" s="21" t="s">
        <v>41</v>
      </c>
      <c r="D13" s="21" t="s">
        <v>31</v>
      </c>
      <c r="E13" s="21" t="s">
        <v>63</v>
      </c>
      <c r="F13" s="21" t="s">
        <v>38</v>
      </c>
    </row>
    <row r="14" spans="1:7" ht="18" customHeight="1">
      <c r="A14" s="55" t="s">
        <v>5</v>
      </c>
      <c r="B14" s="56">
        <f>'2.예산입력'!C4+'2.예산입력'!C14+'2.예산입력'!C24+'2.예산입력'!C34+'2.예산입력'!C44</f>
        <v>0</v>
      </c>
      <c r="C14" s="57">
        <f>'1.지출통계'!O4+'1.지출통계'!O14+'1.지출통계'!O24+'1.지출통계'!O34+'1.지출통계'!O44</f>
        <v>14421000</v>
      </c>
      <c r="D14" s="58">
        <f t="shared" ref="D14:D23" si="3">B14-C14</f>
        <v>-14421000</v>
      </c>
      <c r="E14" s="59" t="str">
        <f t="shared" ref="E14:E23" si="4">IF(B14=0,"-",TEXT(C14/B14,"0.0%"))</f>
        <v>-</v>
      </c>
      <c r="F14" s="60" t="str">
        <f t="shared" ref="F14:F22" si="5">IF(B14=0,"예산 미입력",REPT("■",ROUND(IF(B14=0,0,C14/B14)*20,0))&amp;" "&amp;IF(B14=0,"-",TEXT(C14/B14,"0%")))</f>
        <v>예산 미입력</v>
      </c>
    </row>
    <row r="15" spans="1:7" ht="18" customHeight="1">
      <c r="A15" s="61" t="s">
        <v>6</v>
      </c>
      <c r="B15" s="62">
        <f>'2.예산입력'!C5+'2.예산입력'!C15+'2.예산입력'!C25+'2.예산입력'!C35+'2.예산입력'!C45</f>
        <v>0</v>
      </c>
      <c r="C15" s="63">
        <f>'1.지출통계'!O5+'1.지출통계'!O15+'1.지출통계'!O25+'1.지출통계'!O35+'1.지출통계'!O45</f>
        <v>0</v>
      </c>
      <c r="D15" s="64">
        <f t="shared" si="3"/>
        <v>0</v>
      </c>
      <c r="E15" s="65" t="str">
        <f t="shared" si="4"/>
        <v>-</v>
      </c>
      <c r="F15" s="66" t="str">
        <f t="shared" si="5"/>
        <v>예산 미입력</v>
      </c>
    </row>
    <row r="16" spans="1:7" ht="18" customHeight="1">
      <c r="A16" s="55" t="s">
        <v>7</v>
      </c>
      <c r="B16" s="56">
        <f>'2.예산입력'!C6+'2.예산입력'!C16+'2.예산입력'!C26+'2.예산입력'!C36+'2.예산입력'!C46</f>
        <v>40000000</v>
      </c>
      <c r="C16" s="57">
        <f>'1.지출통계'!O6+'1.지출통계'!O16+'1.지출통계'!O26+'1.지출통계'!O36+'1.지출통계'!O46</f>
        <v>5839540</v>
      </c>
      <c r="D16" s="58">
        <f t="shared" si="3"/>
        <v>34160460</v>
      </c>
      <c r="E16" s="59" t="str">
        <f t="shared" si="4"/>
        <v>14.6%</v>
      </c>
      <c r="F16" s="60" t="str">
        <f t="shared" si="5"/>
        <v>■■■ 15%</v>
      </c>
    </row>
    <row r="17" spans="1:6" ht="18" customHeight="1">
      <c r="A17" s="61" t="s">
        <v>8</v>
      </c>
      <c r="B17" s="62">
        <f>'2.예산입력'!C7+'2.예산입력'!C17+'2.예산입력'!C27+'2.예산입력'!C37+'2.예산입력'!C47</f>
        <v>0</v>
      </c>
      <c r="C17" s="63">
        <f>'1.지출통계'!O7+'1.지출통계'!O17+'1.지출통계'!O27+'1.지출통계'!O37+'1.지출통계'!O47</f>
        <v>0</v>
      </c>
      <c r="D17" s="64">
        <f t="shared" si="3"/>
        <v>0</v>
      </c>
      <c r="E17" s="65" t="str">
        <f t="shared" si="4"/>
        <v>-</v>
      </c>
      <c r="F17" s="66" t="str">
        <f t="shared" si="5"/>
        <v>예산 미입력</v>
      </c>
    </row>
    <row r="18" spans="1:6" ht="18" customHeight="1">
      <c r="A18" s="55" t="s">
        <v>9</v>
      </c>
      <c r="B18" s="56">
        <f>'2.예산입력'!C8+'2.예산입력'!C18+'2.예산입력'!C28+'2.예산입력'!C38+'2.예산입력'!C48</f>
        <v>0</v>
      </c>
      <c r="C18" s="57">
        <f>'1.지출통계'!O8+'1.지출통계'!O18+'1.지출통계'!O28+'1.지출통계'!O38+'1.지출통계'!O48</f>
        <v>540000</v>
      </c>
      <c r="D18" s="58">
        <f t="shared" si="3"/>
        <v>-540000</v>
      </c>
      <c r="E18" s="59" t="str">
        <f t="shared" si="4"/>
        <v>-</v>
      </c>
      <c r="F18" s="60" t="str">
        <f t="shared" si="5"/>
        <v>예산 미입력</v>
      </c>
    </row>
    <row r="19" spans="1:6" ht="18" customHeight="1">
      <c r="A19" s="61" t="s">
        <v>10</v>
      </c>
      <c r="B19" s="62">
        <f>'2.예산입력'!C9+'2.예산입력'!C19+'2.예산입력'!C29+'2.예산입력'!C39+'2.예산입력'!C49</f>
        <v>0</v>
      </c>
      <c r="C19" s="63">
        <f>'1.지출통계'!O9+'1.지출통계'!O19+'1.지출통계'!O29+'1.지출통계'!O39+'1.지출통계'!O49</f>
        <v>0</v>
      </c>
      <c r="D19" s="64">
        <f t="shared" si="3"/>
        <v>0</v>
      </c>
      <c r="E19" s="65" t="str">
        <f t="shared" si="4"/>
        <v>-</v>
      </c>
      <c r="F19" s="66" t="str">
        <f t="shared" si="5"/>
        <v>예산 미입력</v>
      </c>
    </row>
    <row r="20" spans="1:6" ht="18" customHeight="1">
      <c r="A20" s="55" t="s">
        <v>11</v>
      </c>
      <c r="B20" s="56">
        <f>'2.예산입력'!C10+'2.예산입력'!C20+'2.예산입력'!C30+'2.예산입력'!C40+'2.예산입력'!C50</f>
        <v>5</v>
      </c>
      <c r="C20" s="57">
        <f>'1.지출통계'!O10+'1.지출통계'!O20+'1.지출통계'!O30+'1.지출통계'!O40+'1.지출통계'!O50</f>
        <v>0</v>
      </c>
      <c r="D20" s="58">
        <f t="shared" si="3"/>
        <v>5</v>
      </c>
      <c r="E20" s="59" t="str">
        <f t="shared" si="4"/>
        <v>0.0%</v>
      </c>
      <c r="F20" s="60" t="str">
        <f t="shared" si="5"/>
        <v xml:space="preserve"> 0%</v>
      </c>
    </row>
    <row r="21" spans="1:6" ht="18" customHeight="1">
      <c r="A21" s="61" t="s">
        <v>12</v>
      </c>
      <c r="B21" s="62">
        <f>'2.예산입력'!C11+'2.예산입력'!C21+'2.예산입력'!C31+'2.예산입력'!C41+'2.예산입력'!C51</f>
        <v>0</v>
      </c>
      <c r="C21" s="63">
        <f>'1.지출통계'!O11+'1.지출통계'!O21+'1.지출통계'!O31+'1.지출통계'!O41+'1.지출통계'!O51</f>
        <v>0</v>
      </c>
      <c r="D21" s="64">
        <f t="shared" si="3"/>
        <v>0</v>
      </c>
      <c r="E21" s="65" t="str">
        <f t="shared" si="4"/>
        <v>-</v>
      </c>
      <c r="F21" s="66" t="str">
        <f t="shared" si="5"/>
        <v>예산 미입력</v>
      </c>
    </row>
    <row r="22" spans="1:6" ht="18" customHeight="1">
      <c r="A22" s="55" t="s">
        <v>13</v>
      </c>
      <c r="B22" s="56">
        <f>'2.예산입력'!C12+'2.예산입력'!C22+'2.예산입력'!C32+'2.예산입력'!C42+'2.예산입력'!C52</f>
        <v>0</v>
      </c>
      <c r="C22" s="57">
        <f>'1.지출통계'!O12+'1.지출통계'!O22+'1.지출통계'!O32+'1.지출통계'!O42+'1.지출통계'!O52</f>
        <v>3682800</v>
      </c>
      <c r="D22" s="58">
        <f t="shared" si="3"/>
        <v>-3682800</v>
      </c>
      <c r="E22" s="59" t="str">
        <f t="shared" si="4"/>
        <v>-</v>
      </c>
      <c r="F22" s="60" t="str">
        <f t="shared" si="5"/>
        <v>예산 미입력</v>
      </c>
    </row>
    <row r="23" spans="1:6" ht="21.75" customHeight="1">
      <c r="A23" s="67" t="s">
        <v>42</v>
      </c>
      <c r="B23" s="68">
        <f>SUM(B14:B22)</f>
        <v>40000005</v>
      </c>
      <c r="C23" s="68">
        <f>SUM(C14:C22)</f>
        <v>24483340</v>
      </c>
      <c r="D23" s="68">
        <f t="shared" si="3"/>
        <v>15516665</v>
      </c>
      <c r="E23" s="67" t="str">
        <f t="shared" si="4"/>
        <v>61.2%</v>
      </c>
      <c r="F23" s="69"/>
    </row>
  </sheetData>
  <mergeCells count="4">
    <mergeCell ref="A1:F1"/>
    <mergeCell ref="A2:F2"/>
    <mergeCell ref="A3:F3"/>
    <mergeCell ref="A12:F12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M40"/>
  <sheetViews>
    <sheetView tabSelected="1" zoomScaleNormal="100" workbookViewId="0">
      <selection activeCell="J14" sqref="J14"/>
    </sheetView>
  </sheetViews>
  <sheetFormatPr defaultColWidth="8.5" defaultRowHeight="16.5"/>
  <cols>
    <col min="1" max="1" width="0.875" customWidth="1"/>
    <col min="2" max="2" width="4.25" style="87" bestFit="1" customWidth="1"/>
    <col min="3" max="3" width="5.25" style="88" bestFit="1" customWidth="1"/>
    <col min="4" max="4" width="13.875" style="89" bestFit="1" customWidth="1"/>
    <col min="5" max="5" width="3.5" style="90" bestFit="1" customWidth="1"/>
    <col min="6" max="6" width="24.5" style="90" bestFit="1" customWidth="1"/>
    <col min="7" max="7" width="42.625" style="90" customWidth="1"/>
    <col min="8" max="8" width="13.25" style="91" bestFit="1" customWidth="1"/>
    <col min="9" max="9" width="11.25" style="90" bestFit="1" customWidth="1"/>
    <col min="10" max="10" width="28.125" style="90" customWidth="1"/>
    <col min="11" max="11" width="26" style="90" bestFit="1" customWidth="1"/>
    <col min="12" max="13" width="39.75" style="92" customWidth="1"/>
  </cols>
  <sheetData>
    <row r="1" spans="2:13" ht="29.25" customHeight="1">
      <c r="B1" s="135" t="s">
        <v>127</v>
      </c>
      <c r="C1" s="135"/>
      <c r="D1" s="135"/>
      <c r="E1" s="135"/>
      <c r="F1" s="135"/>
      <c r="G1" s="135"/>
      <c r="H1" s="135"/>
      <c r="I1" s="135"/>
      <c r="J1" s="135"/>
      <c r="K1" s="136"/>
      <c r="L1" s="99"/>
      <c r="M1" s="99"/>
    </row>
    <row r="2" spans="2:13" ht="18" thickBot="1">
      <c r="B2" s="117" t="s">
        <v>43</v>
      </c>
      <c r="C2" s="118" t="s">
        <v>0</v>
      </c>
      <c r="D2" s="119" t="s">
        <v>44</v>
      </c>
      <c r="E2" s="118" t="s">
        <v>45</v>
      </c>
      <c r="F2" s="118" t="s">
        <v>46</v>
      </c>
      <c r="G2" s="118" t="s">
        <v>47</v>
      </c>
      <c r="H2" s="118" t="s">
        <v>72</v>
      </c>
      <c r="I2" s="118" t="s">
        <v>68</v>
      </c>
      <c r="J2" s="122" t="s">
        <v>70</v>
      </c>
      <c r="K2" s="118" t="s">
        <v>71</v>
      </c>
      <c r="L2" s="120" t="s">
        <v>28</v>
      </c>
      <c r="M2" s="120" t="s">
        <v>69</v>
      </c>
    </row>
    <row r="3" spans="2:13" ht="16.5" customHeight="1" thickTop="1">
      <c r="B3" s="112">
        <f>ROW()-2</f>
        <v>1</v>
      </c>
      <c r="C3" s="101" t="s">
        <v>76</v>
      </c>
      <c r="D3" s="113">
        <v>46045</v>
      </c>
      <c r="E3" s="114">
        <f t="shared" ref="E3:E29" si="0">MONTH(D3)</f>
        <v>1</v>
      </c>
      <c r="F3" s="114" t="s">
        <v>5</v>
      </c>
      <c r="G3" s="138" t="s">
        <v>74</v>
      </c>
      <c r="H3" s="115">
        <v>1379400</v>
      </c>
      <c r="I3" s="114"/>
      <c r="J3" s="114"/>
      <c r="K3" s="114"/>
      <c r="L3" s="116"/>
      <c r="M3" s="105" t="s">
        <v>111</v>
      </c>
    </row>
    <row r="4" spans="2:13" ht="16.5" customHeight="1">
      <c r="B4" s="112">
        <f t="shared" ref="B4:B29" si="1">ROW()-2</f>
        <v>2</v>
      </c>
      <c r="C4" s="101" t="s">
        <v>76</v>
      </c>
      <c r="D4" s="102">
        <v>46063</v>
      </c>
      <c r="E4" s="103">
        <f t="shared" si="0"/>
        <v>2</v>
      </c>
      <c r="F4" s="103" t="s">
        <v>5</v>
      </c>
      <c r="G4" s="137" t="s">
        <v>73</v>
      </c>
      <c r="H4" s="115">
        <v>1379400</v>
      </c>
      <c r="I4" s="103"/>
      <c r="J4" s="103"/>
      <c r="K4" s="103"/>
      <c r="L4" s="105"/>
      <c r="M4" s="105" t="s">
        <v>112</v>
      </c>
    </row>
    <row r="5" spans="2:13" ht="16.5" customHeight="1">
      <c r="B5" s="112">
        <f t="shared" si="1"/>
        <v>3</v>
      </c>
      <c r="C5" s="101" t="s">
        <v>76</v>
      </c>
      <c r="D5" s="102">
        <v>46091</v>
      </c>
      <c r="E5" s="103">
        <f t="shared" si="0"/>
        <v>3</v>
      </c>
      <c r="F5" s="103" t="s">
        <v>5</v>
      </c>
      <c r="G5" s="137" t="s">
        <v>73</v>
      </c>
      <c r="H5" s="115">
        <v>1379400</v>
      </c>
      <c r="I5" s="103"/>
      <c r="J5" s="103"/>
      <c r="K5" s="103"/>
      <c r="L5" s="105"/>
      <c r="M5" s="105" t="s">
        <v>113</v>
      </c>
    </row>
    <row r="6" spans="2:13" ht="16.5" customHeight="1">
      <c r="B6" s="112">
        <f t="shared" si="1"/>
        <v>4</v>
      </c>
      <c r="C6" s="101" t="s">
        <v>76</v>
      </c>
      <c r="D6" s="102">
        <v>46122</v>
      </c>
      <c r="E6" s="103">
        <f t="shared" si="0"/>
        <v>4</v>
      </c>
      <c r="F6" s="103" t="s">
        <v>5</v>
      </c>
      <c r="G6" s="137" t="s">
        <v>73</v>
      </c>
      <c r="H6" s="115">
        <v>1379400</v>
      </c>
      <c r="I6" s="103"/>
      <c r="J6" s="103"/>
      <c r="K6" s="103"/>
      <c r="L6" s="105"/>
      <c r="M6" s="105" t="s">
        <v>113</v>
      </c>
    </row>
    <row r="7" spans="2:13" ht="16.5" customHeight="1">
      <c r="B7" s="112">
        <f t="shared" si="1"/>
        <v>5</v>
      </c>
      <c r="C7" s="101" t="s">
        <v>76</v>
      </c>
      <c r="D7" s="102">
        <v>46164</v>
      </c>
      <c r="E7" s="103">
        <f t="shared" ref="E7:E8" si="2">MONTH(D7)</f>
        <v>5</v>
      </c>
      <c r="F7" s="103" t="s">
        <v>5</v>
      </c>
      <c r="G7" s="137" t="s">
        <v>73</v>
      </c>
      <c r="H7" s="115">
        <v>1379400</v>
      </c>
      <c r="I7" s="103"/>
      <c r="J7" s="103"/>
      <c r="K7" s="103"/>
      <c r="L7" s="105"/>
      <c r="M7" s="105" t="s">
        <v>114</v>
      </c>
    </row>
    <row r="8" spans="2:13" ht="16.5" customHeight="1">
      <c r="B8" s="112">
        <f t="shared" si="1"/>
        <v>6</v>
      </c>
      <c r="C8" s="101" t="s">
        <v>76</v>
      </c>
      <c r="D8" s="102">
        <v>46031</v>
      </c>
      <c r="E8" s="103">
        <f t="shared" si="2"/>
        <v>1</v>
      </c>
      <c r="F8" s="103" t="s">
        <v>5</v>
      </c>
      <c r="G8" s="137" t="s">
        <v>75</v>
      </c>
      <c r="H8" s="104">
        <v>1254000</v>
      </c>
      <c r="I8" s="103"/>
      <c r="J8" s="103"/>
      <c r="K8" s="103"/>
      <c r="L8" s="105"/>
      <c r="M8" s="105" t="s">
        <v>115</v>
      </c>
    </row>
    <row r="9" spans="2:13" ht="16.5" customHeight="1">
      <c r="B9" s="112">
        <f t="shared" si="1"/>
        <v>7</v>
      </c>
      <c r="C9" s="101" t="s">
        <v>76</v>
      </c>
      <c r="D9" s="102">
        <v>46063</v>
      </c>
      <c r="E9" s="103">
        <f t="shared" si="0"/>
        <v>2</v>
      </c>
      <c r="F9" s="103" t="s">
        <v>5</v>
      </c>
      <c r="G9" s="137" t="s">
        <v>75</v>
      </c>
      <c r="H9" s="104">
        <v>1254000</v>
      </c>
      <c r="I9" s="103"/>
      <c r="J9" s="103"/>
      <c r="K9" s="103"/>
      <c r="L9" s="105"/>
      <c r="M9" s="105" t="s">
        <v>116</v>
      </c>
    </row>
    <row r="10" spans="2:13" ht="16.5" customHeight="1">
      <c r="B10" s="112">
        <f t="shared" si="1"/>
        <v>8</v>
      </c>
      <c r="C10" s="101" t="s">
        <v>76</v>
      </c>
      <c r="D10" s="102">
        <v>46091</v>
      </c>
      <c r="E10" s="103">
        <f t="shared" si="0"/>
        <v>3</v>
      </c>
      <c r="F10" s="103" t="s">
        <v>5</v>
      </c>
      <c r="G10" s="137" t="s">
        <v>75</v>
      </c>
      <c r="H10" s="104">
        <v>1254000</v>
      </c>
      <c r="I10" s="103"/>
      <c r="J10" s="103"/>
      <c r="K10" s="103"/>
      <c r="L10" s="105"/>
      <c r="M10" s="105" t="s">
        <v>117</v>
      </c>
    </row>
    <row r="11" spans="2:13" ht="16.5" customHeight="1">
      <c r="B11" s="112">
        <f t="shared" si="1"/>
        <v>9</v>
      </c>
      <c r="C11" s="101" t="s">
        <v>76</v>
      </c>
      <c r="D11" s="102">
        <v>46122</v>
      </c>
      <c r="E11" s="103">
        <f t="shared" si="0"/>
        <v>4</v>
      </c>
      <c r="F11" s="103" t="s">
        <v>5</v>
      </c>
      <c r="G11" s="137" t="s">
        <v>75</v>
      </c>
      <c r="H11" s="104">
        <v>1254000</v>
      </c>
      <c r="I11" s="103"/>
      <c r="J11" s="103"/>
      <c r="K11" s="103"/>
      <c r="L11" s="105"/>
      <c r="M11" s="105" t="s">
        <v>118</v>
      </c>
    </row>
    <row r="12" spans="2:13" ht="16.5" customHeight="1">
      <c r="B12" s="112">
        <f t="shared" si="1"/>
        <v>10</v>
      </c>
      <c r="C12" s="101" t="s">
        <v>76</v>
      </c>
      <c r="D12" s="102">
        <v>46164</v>
      </c>
      <c r="E12" s="103">
        <f t="shared" si="0"/>
        <v>5</v>
      </c>
      <c r="F12" s="103" t="s">
        <v>5</v>
      </c>
      <c r="G12" s="137" t="s">
        <v>75</v>
      </c>
      <c r="H12" s="104">
        <v>1254000</v>
      </c>
      <c r="I12" s="103"/>
      <c r="J12" s="103"/>
      <c r="K12" s="103"/>
      <c r="L12" s="105"/>
      <c r="M12" s="105" t="s">
        <v>119</v>
      </c>
    </row>
    <row r="13" spans="2:13" ht="16.5" customHeight="1">
      <c r="B13" s="112">
        <f t="shared" si="1"/>
        <v>11</v>
      </c>
      <c r="C13" s="101" t="s">
        <v>76</v>
      </c>
      <c r="D13" s="102">
        <v>46183</v>
      </c>
      <c r="E13" s="103">
        <f t="shared" ref="E13" si="3">MONTH(D13)</f>
        <v>6</v>
      </c>
      <c r="F13" s="103" t="s">
        <v>5</v>
      </c>
      <c r="G13" s="137" t="s">
        <v>75</v>
      </c>
      <c r="H13" s="104">
        <v>1254000</v>
      </c>
      <c r="I13" s="103"/>
      <c r="J13" s="103"/>
      <c r="K13" s="103"/>
      <c r="L13" s="105"/>
      <c r="M13" s="105" t="s">
        <v>120</v>
      </c>
    </row>
    <row r="14" spans="2:13" ht="16.5" customHeight="1">
      <c r="B14" s="112">
        <f t="shared" si="1"/>
        <v>12</v>
      </c>
      <c r="C14" s="101" t="s">
        <v>76</v>
      </c>
      <c r="D14" s="102">
        <v>46174</v>
      </c>
      <c r="E14" s="103">
        <f t="shared" si="0"/>
        <v>6</v>
      </c>
      <c r="F14" s="103" t="s">
        <v>7</v>
      </c>
      <c r="G14" s="137" t="s">
        <v>109</v>
      </c>
      <c r="H14" s="104">
        <v>540600</v>
      </c>
      <c r="I14" s="103"/>
      <c r="J14" s="103"/>
      <c r="K14" s="103"/>
      <c r="L14" s="105"/>
      <c r="M14" s="105" t="s">
        <v>104</v>
      </c>
    </row>
    <row r="15" spans="2:13" ht="16.5" customHeight="1">
      <c r="B15" s="112">
        <f t="shared" si="1"/>
        <v>13</v>
      </c>
      <c r="C15" s="101" t="s">
        <v>76</v>
      </c>
      <c r="D15" s="102">
        <v>46174</v>
      </c>
      <c r="E15" s="103">
        <f t="shared" si="0"/>
        <v>6</v>
      </c>
      <c r="F15" s="103" t="s">
        <v>7</v>
      </c>
      <c r="G15" s="137" t="s">
        <v>108</v>
      </c>
      <c r="H15" s="104">
        <v>969600</v>
      </c>
      <c r="I15" s="103"/>
      <c r="J15" s="103"/>
      <c r="K15" s="103"/>
      <c r="L15" s="105"/>
      <c r="M15" s="105" t="s">
        <v>104</v>
      </c>
    </row>
    <row r="16" spans="2:13" ht="16.5" customHeight="1">
      <c r="B16" s="112">
        <f t="shared" si="1"/>
        <v>14</v>
      </c>
      <c r="C16" s="101" t="s">
        <v>76</v>
      </c>
      <c r="D16" s="102">
        <v>46163</v>
      </c>
      <c r="E16" s="103">
        <f t="shared" ref="E16:E19" si="4">MONTH(D16)</f>
        <v>5</v>
      </c>
      <c r="F16" s="103" t="s">
        <v>7</v>
      </c>
      <c r="G16" s="137" t="s">
        <v>105</v>
      </c>
      <c r="H16" s="104">
        <v>35000</v>
      </c>
      <c r="I16" s="103"/>
      <c r="J16" s="103"/>
      <c r="K16" s="103"/>
      <c r="L16" s="105"/>
      <c r="M16" s="105" t="s">
        <v>104</v>
      </c>
    </row>
    <row r="17" spans="2:13" ht="16.5" customHeight="1">
      <c r="B17" s="112">
        <f t="shared" si="1"/>
        <v>15</v>
      </c>
      <c r="C17" s="101" t="s">
        <v>76</v>
      </c>
      <c r="D17" s="102">
        <v>46163</v>
      </c>
      <c r="E17" s="103">
        <f t="shared" si="4"/>
        <v>5</v>
      </c>
      <c r="F17" s="103" t="s">
        <v>7</v>
      </c>
      <c r="G17" s="137" t="s">
        <v>106</v>
      </c>
      <c r="H17" s="104">
        <v>140000</v>
      </c>
      <c r="I17" s="103"/>
      <c r="J17" s="103"/>
      <c r="K17" s="103"/>
      <c r="L17" s="105"/>
      <c r="M17" s="105" t="s">
        <v>103</v>
      </c>
    </row>
    <row r="18" spans="2:13" ht="16.5" customHeight="1">
      <c r="B18" s="112">
        <f t="shared" si="1"/>
        <v>16</v>
      </c>
      <c r="C18" s="101" t="s">
        <v>76</v>
      </c>
      <c r="D18" s="102">
        <v>46149</v>
      </c>
      <c r="E18" s="103">
        <f t="shared" si="4"/>
        <v>5</v>
      </c>
      <c r="F18" s="103" t="s">
        <v>7</v>
      </c>
      <c r="G18" s="137" t="s">
        <v>110</v>
      </c>
      <c r="H18" s="104">
        <v>600000</v>
      </c>
      <c r="I18" s="103"/>
      <c r="J18" s="103"/>
      <c r="K18" s="103"/>
      <c r="L18" s="105"/>
      <c r="M18" s="105" t="s">
        <v>99</v>
      </c>
    </row>
    <row r="19" spans="2:13" ht="16.5" customHeight="1">
      <c r="B19" s="112">
        <f t="shared" si="1"/>
        <v>17</v>
      </c>
      <c r="C19" s="101" t="s">
        <v>76</v>
      </c>
      <c r="D19" s="102">
        <v>46142</v>
      </c>
      <c r="E19" s="103">
        <f t="shared" si="4"/>
        <v>4</v>
      </c>
      <c r="F19" s="103" t="s">
        <v>13</v>
      </c>
      <c r="G19" s="137" t="s">
        <v>98</v>
      </c>
      <c r="H19" s="104">
        <v>1060800</v>
      </c>
      <c r="I19" s="103"/>
      <c r="J19" s="103" t="s">
        <v>101</v>
      </c>
      <c r="K19" s="103" t="s">
        <v>102</v>
      </c>
      <c r="L19" s="105" t="s">
        <v>97</v>
      </c>
      <c r="M19" s="105" t="s">
        <v>100</v>
      </c>
    </row>
    <row r="20" spans="2:13" ht="16.5" customHeight="1">
      <c r="B20" s="112">
        <f t="shared" si="1"/>
        <v>18</v>
      </c>
      <c r="C20" s="101" t="s">
        <v>76</v>
      </c>
      <c r="D20" s="102">
        <v>46141</v>
      </c>
      <c r="E20" s="103">
        <f t="shared" si="0"/>
        <v>4</v>
      </c>
      <c r="F20" s="103" t="s">
        <v>7</v>
      </c>
      <c r="G20" s="137" t="s">
        <v>95</v>
      </c>
      <c r="H20" s="104">
        <v>71000</v>
      </c>
      <c r="I20" s="103"/>
      <c r="J20" s="103"/>
      <c r="K20" s="103"/>
      <c r="L20" s="105"/>
      <c r="M20" s="105" t="s">
        <v>96</v>
      </c>
    </row>
    <row r="21" spans="2:13" ht="16.5" customHeight="1">
      <c r="B21" s="112">
        <f t="shared" si="1"/>
        <v>19</v>
      </c>
      <c r="C21" s="101" t="s">
        <v>76</v>
      </c>
      <c r="D21" s="102">
        <v>46133</v>
      </c>
      <c r="E21" s="103">
        <f t="shared" si="0"/>
        <v>4</v>
      </c>
      <c r="F21" s="103" t="s">
        <v>7</v>
      </c>
      <c r="G21" s="137" t="s">
        <v>93</v>
      </c>
      <c r="H21" s="104">
        <v>104000</v>
      </c>
      <c r="I21" s="103"/>
      <c r="J21" s="103"/>
      <c r="K21" s="103"/>
      <c r="L21" s="105"/>
      <c r="M21" s="105" t="s">
        <v>92</v>
      </c>
    </row>
    <row r="22" spans="2:13" ht="16.5" customHeight="1">
      <c r="B22" s="112">
        <f t="shared" si="1"/>
        <v>20</v>
      </c>
      <c r="C22" s="101" t="s">
        <v>76</v>
      </c>
      <c r="D22" s="102">
        <v>46126</v>
      </c>
      <c r="E22" s="103">
        <f t="shared" si="0"/>
        <v>4</v>
      </c>
      <c r="F22" s="103" t="s">
        <v>13</v>
      </c>
      <c r="G22" s="137" t="s">
        <v>94</v>
      </c>
      <c r="H22" s="104">
        <v>2622000</v>
      </c>
      <c r="I22" s="103"/>
      <c r="J22" s="103" t="s">
        <v>88</v>
      </c>
      <c r="K22" s="103" t="s">
        <v>89</v>
      </c>
      <c r="L22" s="105" t="s">
        <v>90</v>
      </c>
      <c r="M22" s="105" t="s">
        <v>91</v>
      </c>
    </row>
    <row r="23" spans="2:13" ht="15.75" customHeight="1">
      <c r="B23" s="112">
        <f t="shared" si="1"/>
        <v>21</v>
      </c>
      <c r="C23" s="101" t="s">
        <v>76</v>
      </c>
      <c r="D23" s="102">
        <v>46125</v>
      </c>
      <c r="E23" s="103">
        <f t="shared" si="0"/>
        <v>4</v>
      </c>
      <c r="F23" s="103" t="s">
        <v>7</v>
      </c>
      <c r="G23" s="137" t="s">
        <v>86</v>
      </c>
      <c r="H23" s="104">
        <v>566100</v>
      </c>
      <c r="I23" s="103"/>
      <c r="J23" s="103"/>
      <c r="K23" s="103"/>
      <c r="L23" s="105"/>
      <c r="M23" s="105" t="s">
        <v>83</v>
      </c>
    </row>
    <row r="24" spans="2:13" ht="16.5" customHeight="1">
      <c r="B24" s="112">
        <f t="shared" si="1"/>
        <v>22</v>
      </c>
      <c r="C24" s="101" t="s">
        <v>76</v>
      </c>
      <c r="D24" s="102">
        <v>46112</v>
      </c>
      <c r="E24" s="103">
        <f t="shared" si="0"/>
        <v>3</v>
      </c>
      <c r="F24" s="103" t="s">
        <v>7</v>
      </c>
      <c r="G24" s="137" t="s">
        <v>85</v>
      </c>
      <c r="H24" s="104">
        <v>29000</v>
      </c>
      <c r="I24" s="103"/>
      <c r="J24" s="103"/>
      <c r="K24" s="103"/>
      <c r="L24" s="105"/>
      <c r="M24" s="105" t="s">
        <v>82</v>
      </c>
    </row>
    <row r="25" spans="2:13" ht="16.5" customHeight="1">
      <c r="B25" s="112">
        <f t="shared" si="1"/>
        <v>23</v>
      </c>
      <c r="C25" s="101" t="s">
        <v>76</v>
      </c>
      <c r="D25" s="102">
        <v>46112</v>
      </c>
      <c r="E25" s="103">
        <f t="shared" ref="E25:E27" si="5">MONTH(D25)</f>
        <v>3</v>
      </c>
      <c r="F25" s="103" t="s">
        <v>7</v>
      </c>
      <c r="G25" s="137" t="s">
        <v>84</v>
      </c>
      <c r="H25" s="104">
        <v>158000</v>
      </c>
      <c r="I25" s="103"/>
      <c r="J25" s="103"/>
      <c r="K25" s="103"/>
      <c r="L25" s="105"/>
      <c r="M25" s="105" t="s">
        <v>82</v>
      </c>
    </row>
    <row r="26" spans="2:13" ht="16.5" customHeight="1">
      <c r="B26" s="112">
        <f t="shared" si="1"/>
        <v>24</v>
      </c>
      <c r="C26" s="101" t="s">
        <v>76</v>
      </c>
      <c r="D26" s="102">
        <v>46104</v>
      </c>
      <c r="E26" s="103">
        <f>MONTH(D26)</f>
        <v>3</v>
      </c>
      <c r="F26" s="103" t="s">
        <v>7</v>
      </c>
      <c r="G26" s="137" t="s">
        <v>87</v>
      </c>
      <c r="H26" s="104">
        <v>135000</v>
      </c>
      <c r="I26" s="103"/>
      <c r="J26" s="103"/>
      <c r="K26" s="103"/>
      <c r="L26" s="105"/>
      <c r="M26" s="105" t="s">
        <v>107</v>
      </c>
    </row>
    <row r="27" spans="2:13" ht="16.5" customHeight="1">
      <c r="B27" s="112">
        <f t="shared" si="1"/>
        <v>25</v>
      </c>
      <c r="C27" s="101" t="s">
        <v>76</v>
      </c>
      <c r="D27" s="102">
        <v>46097</v>
      </c>
      <c r="E27" s="103">
        <f t="shared" si="5"/>
        <v>3</v>
      </c>
      <c r="F27" s="103" t="s">
        <v>7</v>
      </c>
      <c r="G27" s="137" t="s">
        <v>78</v>
      </c>
      <c r="H27" s="104">
        <v>37600</v>
      </c>
      <c r="I27" s="103"/>
      <c r="J27" s="103"/>
      <c r="K27" s="103"/>
      <c r="L27" s="105"/>
      <c r="M27" s="105" t="s">
        <v>79</v>
      </c>
    </row>
    <row r="28" spans="2:13" ht="16.5" customHeight="1">
      <c r="B28" s="112">
        <f t="shared" si="1"/>
        <v>26</v>
      </c>
      <c r="C28" s="101" t="s">
        <v>76</v>
      </c>
      <c r="D28" s="102">
        <v>46097</v>
      </c>
      <c r="E28" s="103">
        <f t="shared" si="0"/>
        <v>3</v>
      </c>
      <c r="F28" s="103" t="s">
        <v>7</v>
      </c>
      <c r="G28" s="137" t="s">
        <v>77</v>
      </c>
      <c r="H28" s="104">
        <v>23640</v>
      </c>
      <c r="I28" s="103"/>
      <c r="J28" s="103"/>
      <c r="K28" s="103"/>
      <c r="L28" s="105"/>
      <c r="M28" s="105" t="s">
        <v>79</v>
      </c>
    </row>
    <row r="29" spans="2:13" ht="16.5" customHeight="1">
      <c r="B29" s="112">
        <f t="shared" si="1"/>
        <v>27</v>
      </c>
      <c r="C29" s="101" t="s">
        <v>76</v>
      </c>
      <c r="D29" s="102">
        <v>46077</v>
      </c>
      <c r="E29" s="103">
        <f t="shared" si="0"/>
        <v>2</v>
      </c>
      <c r="F29" s="103" t="s">
        <v>7</v>
      </c>
      <c r="G29" s="137" t="s">
        <v>81</v>
      </c>
      <c r="H29" s="104">
        <v>2430000</v>
      </c>
      <c r="I29" s="103"/>
      <c r="J29" s="103"/>
      <c r="K29" s="103"/>
      <c r="L29" s="105"/>
      <c r="M29" s="105" t="s">
        <v>80</v>
      </c>
    </row>
    <row r="30" spans="2:13" ht="16.5" customHeight="1">
      <c r="B30" s="100">
        <v>26</v>
      </c>
      <c r="C30" s="101" t="s">
        <v>76</v>
      </c>
      <c r="D30" s="102">
        <v>46171</v>
      </c>
      <c r="E30" s="103">
        <f t="shared" ref="E30:E39" si="6">IF(D30="","",MONTH(D30))</f>
        <v>5</v>
      </c>
      <c r="F30" s="103" t="s">
        <v>9</v>
      </c>
      <c r="G30" s="137" t="s">
        <v>121</v>
      </c>
      <c r="H30" s="104">
        <v>270000</v>
      </c>
      <c r="I30" s="103"/>
      <c r="J30" s="103"/>
      <c r="K30" s="103"/>
      <c r="L30" s="105"/>
      <c r="M30" s="105" t="s">
        <v>126</v>
      </c>
    </row>
    <row r="31" spans="2:13" ht="16.5" customHeight="1">
      <c r="B31" s="100">
        <v>26</v>
      </c>
      <c r="C31" s="101" t="s">
        <v>76</v>
      </c>
      <c r="D31" s="102">
        <v>46127</v>
      </c>
      <c r="E31" s="103">
        <f t="shared" ref="E31:E32" si="7">IF(D31="","",MONTH(D31))</f>
        <v>4</v>
      </c>
      <c r="F31" s="103" t="s">
        <v>9</v>
      </c>
      <c r="G31" s="137" t="s">
        <v>122</v>
      </c>
      <c r="H31" s="104">
        <v>150000</v>
      </c>
      <c r="I31" s="103"/>
      <c r="J31" s="103"/>
      <c r="K31" s="103"/>
      <c r="L31" s="105"/>
      <c r="M31" s="105" t="s">
        <v>125</v>
      </c>
    </row>
    <row r="32" spans="2:13" ht="16.5" customHeight="1">
      <c r="B32" s="100">
        <v>26</v>
      </c>
      <c r="C32" s="101" t="s">
        <v>76</v>
      </c>
      <c r="D32" s="102">
        <v>46112</v>
      </c>
      <c r="E32" s="103">
        <f t="shared" si="7"/>
        <v>3</v>
      </c>
      <c r="F32" s="103" t="s">
        <v>9</v>
      </c>
      <c r="G32" s="137" t="s">
        <v>123</v>
      </c>
      <c r="H32" s="104">
        <v>120000</v>
      </c>
      <c r="I32" s="103"/>
      <c r="J32" s="103"/>
      <c r="K32" s="103"/>
      <c r="L32" s="105"/>
      <c r="M32" s="105" t="s">
        <v>124</v>
      </c>
    </row>
    <row r="33" spans="2:13" ht="16.5" customHeight="1">
      <c r="B33" s="100"/>
      <c r="C33" s="101"/>
      <c r="D33" s="102"/>
      <c r="E33" s="103" t="str">
        <f t="shared" si="6"/>
        <v/>
      </c>
      <c r="F33" s="103"/>
      <c r="G33" s="103"/>
      <c r="H33" s="104"/>
      <c r="I33" s="103"/>
      <c r="J33" s="103"/>
      <c r="K33" s="103"/>
      <c r="L33" s="105"/>
      <c r="M33" s="105"/>
    </row>
    <row r="34" spans="2:13" ht="16.5" customHeight="1">
      <c r="B34" s="100"/>
      <c r="C34" s="101"/>
      <c r="D34" s="102"/>
      <c r="E34" s="103" t="str">
        <f t="shared" si="6"/>
        <v/>
      </c>
      <c r="F34" s="103"/>
      <c r="G34" s="103"/>
      <c r="H34" s="104"/>
      <c r="I34" s="103"/>
      <c r="J34" s="103"/>
      <c r="K34" s="103"/>
      <c r="L34" s="105"/>
      <c r="M34" s="105"/>
    </row>
    <row r="35" spans="2:13" ht="16.5" customHeight="1">
      <c r="B35" s="100"/>
      <c r="C35" s="101"/>
      <c r="D35" s="102"/>
      <c r="E35" s="103" t="str">
        <f t="shared" si="6"/>
        <v/>
      </c>
      <c r="F35" s="103"/>
      <c r="G35" s="103"/>
      <c r="H35" s="104"/>
      <c r="I35" s="103"/>
      <c r="J35" s="103"/>
      <c r="K35" s="103"/>
      <c r="L35" s="105"/>
      <c r="M35" s="105"/>
    </row>
    <row r="36" spans="2:13" ht="16.5" customHeight="1">
      <c r="B36" s="100"/>
      <c r="C36" s="101"/>
      <c r="D36" s="102"/>
      <c r="E36" s="103" t="str">
        <f t="shared" si="6"/>
        <v/>
      </c>
      <c r="F36" s="103"/>
      <c r="G36" s="103"/>
      <c r="H36" s="104"/>
      <c r="I36" s="103"/>
      <c r="J36" s="103"/>
      <c r="K36" s="103"/>
      <c r="L36" s="105"/>
      <c r="M36" s="105"/>
    </row>
    <row r="37" spans="2:13" ht="16.5" customHeight="1">
      <c r="B37" s="100"/>
      <c r="C37" s="101"/>
      <c r="D37" s="102"/>
      <c r="E37" s="103" t="str">
        <f t="shared" si="6"/>
        <v/>
      </c>
      <c r="F37" s="103"/>
      <c r="G37" s="103"/>
      <c r="H37" s="104"/>
      <c r="I37" s="103"/>
      <c r="J37" s="103"/>
      <c r="K37" s="103"/>
      <c r="L37" s="105"/>
      <c r="M37" s="105"/>
    </row>
    <row r="38" spans="2:13" ht="16.5" customHeight="1">
      <c r="B38" s="100"/>
      <c r="C38" s="101"/>
      <c r="D38" s="102"/>
      <c r="E38" s="103" t="str">
        <f t="shared" si="6"/>
        <v/>
      </c>
      <c r="F38" s="103"/>
      <c r="G38" s="103"/>
      <c r="H38" s="104"/>
      <c r="I38" s="103"/>
      <c r="J38" s="103"/>
      <c r="K38" s="103"/>
      <c r="L38" s="105"/>
      <c r="M38" s="105"/>
    </row>
    <row r="39" spans="2:13" ht="16.5" customHeight="1">
      <c r="B39" s="106"/>
      <c r="C39" s="107"/>
      <c r="D39" s="108"/>
      <c r="E39" s="109" t="str">
        <f t="shared" si="6"/>
        <v/>
      </c>
      <c r="F39" s="109"/>
      <c r="G39" s="109"/>
      <c r="H39" s="110"/>
      <c r="I39" s="109"/>
      <c r="J39" s="109"/>
      <c r="K39" s="109"/>
      <c r="L39" s="111"/>
      <c r="M39" s="111"/>
    </row>
    <row r="40" spans="2:13">
      <c r="B40" s="93"/>
      <c r="C40" s="94"/>
      <c r="D40" s="95"/>
      <c r="E40" s="96"/>
      <c r="F40" s="96"/>
      <c r="G40" s="96"/>
      <c r="H40" s="97"/>
      <c r="I40" s="96"/>
      <c r="J40" s="96"/>
      <c r="K40" s="96"/>
      <c r="L40" s="98"/>
      <c r="M40" s="98"/>
    </row>
  </sheetData>
  <mergeCells count="1">
    <mergeCell ref="B1:K1"/>
  </mergeCells>
  <phoneticPr fontId="3" type="noConversion"/>
  <conditionalFormatting sqref="I16:I19 J2:J6 J16:J18 J9:J12 I33:J1048576 I20:J30">
    <cfRule type="cellIs" dxfId="11" priority="16" operator="between">
      <formula>"Y"</formula>
      <formula>"N"</formula>
    </cfRule>
  </conditionalFormatting>
  <conditionalFormatting sqref="I2:I6 I9:I12">
    <cfRule type="cellIs" dxfId="10" priority="15" operator="between">
      <formula>"Y"</formula>
      <formula>"N"</formula>
    </cfRule>
  </conditionalFormatting>
  <conditionalFormatting sqref="J19">
    <cfRule type="cellIs" dxfId="9" priority="10" operator="between">
      <formula>"Y"</formula>
      <formula>"N"</formula>
    </cfRule>
  </conditionalFormatting>
  <conditionalFormatting sqref="I15:J15">
    <cfRule type="cellIs" dxfId="8" priority="9" operator="between">
      <formula>"Y"</formula>
      <formula>"N"</formula>
    </cfRule>
  </conditionalFormatting>
  <conditionalFormatting sqref="I14:J14">
    <cfRule type="cellIs" dxfId="7" priority="8" operator="between">
      <formula>"Y"</formula>
      <formula>"N"</formula>
    </cfRule>
  </conditionalFormatting>
  <conditionalFormatting sqref="J7">
    <cfRule type="cellIs" dxfId="6" priority="7" operator="between">
      <formula>"Y"</formula>
      <formula>"N"</formula>
    </cfRule>
  </conditionalFormatting>
  <conditionalFormatting sqref="I7">
    <cfRule type="cellIs" dxfId="5" priority="6" operator="between">
      <formula>"Y"</formula>
      <formula>"N"</formula>
    </cfRule>
  </conditionalFormatting>
  <conditionalFormatting sqref="J8">
    <cfRule type="cellIs" dxfId="4" priority="5" operator="between">
      <formula>"Y"</formula>
      <formula>"N"</formula>
    </cfRule>
  </conditionalFormatting>
  <conditionalFormatting sqref="I8">
    <cfRule type="cellIs" dxfId="3" priority="4" operator="between">
      <formula>"Y"</formula>
      <formula>"N"</formula>
    </cfRule>
  </conditionalFormatting>
  <conditionalFormatting sqref="J13">
    <cfRule type="cellIs" dxfId="2" priority="3" operator="between">
      <formula>"Y"</formula>
      <formula>"N"</formula>
    </cfRule>
  </conditionalFormatting>
  <conditionalFormatting sqref="I13">
    <cfRule type="cellIs" dxfId="1" priority="2" operator="between">
      <formula>"Y"</formula>
      <formula>"N"</formula>
    </cfRule>
  </conditionalFormatting>
  <conditionalFormatting sqref="I31:J32">
    <cfRule type="cellIs" dxfId="0" priority="1" operator="between">
      <formula>"Y"</formula>
      <formula>"N"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'드롭다운 목록'!$B$2:$B$10</xm:f>
          </x14:formula1>
          <xm:sqref>F2:F1048576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workbookViewId="0">
      <selection activeCell="B36" sqref="B36"/>
    </sheetView>
  </sheetViews>
  <sheetFormatPr defaultColWidth="8.5" defaultRowHeight="16.5"/>
  <cols>
    <col min="1" max="1" width="9" style="1" customWidth="1"/>
    <col min="2" max="2" width="19.25" style="1" customWidth="1"/>
  </cols>
  <sheetData>
    <row r="1" spans="1:2" ht="16.5" customHeight="1">
      <c r="A1" s="2" t="s">
        <v>0</v>
      </c>
      <c r="B1" s="2" t="s">
        <v>46</v>
      </c>
    </row>
    <row r="2" spans="1:2" ht="16.5" customHeight="1">
      <c r="A2" s="2" t="s">
        <v>4</v>
      </c>
      <c r="B2" s="3" t="s">
        <v>5</v>
      </c>
    </row>
    <row r="3" spans="1:2" ht="16.5" customHeight="1">
      <c r="A3" s="2" t="s">
        <v>15</v>
      </c>
      <c r="B3" s="4" t="s">
        <v>6</v>
      </c>
    </row>
    <row r="4" spans="1:2" ht="16.5" customHeight="1">
      <c r="A4" s="2" t="s">
        <v>17</v>
      </c>
      <c r="B4" s="3" t="s">
        <v>7</v>
      </c>
    </row>
    <row r="5" spans="1:2" ht="16.5" customHeight="1">
      <c r="A5" s="2" t="s">
        <v>19</v>
      </c>
      <c r="B5" s="4" t="s">
        <v>8</v>
      </c>
    </row>
    <row r="6" spans="1:2" ht="16.5" customHeight="1">
      <c r="A6" s="2" t="s">
        <v>21</v>
      </c>
      <c r="B6" s="3" t="s">
        <v>9</v>
      </c>
    </row>
    <row r="7" spans="1:2" ht="16.5" customHeight="1">
      <c r="B7" s="4" t="s">
        <v>10</v>
      </c>
    </row>
    <row r="8" spans="1:2" ht="16.5" customHeight="1">
      <c r="B8" s="3" t="s">
        <v>11</v>
      </c>
    </row>
    <row r="9" spans="1:2" ht="16.5" customHeight="1">
      <c r="B9" s="4" t="s">
        <v>12</v>
      </c>
    </row>
    <row r="10" spans="1:2" ht="16.5" customHeight="1">
      <c r="B10" s="3" t="s">
        <v>13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1.지출통계</vt:lpstr>
      <vt:lpstr>2.예산입력</vt:lpstr>
      <vt:lpstr>3.예산대비_지출통계</vt:lpstr>
      <vt:lpstr>전사_예산대비요약</vt:lpstr>
      <vt:lpstr>사용내역</vt:lpstr>
      <vt:lpstr>드롭다운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류재하대구 현장지원팀</cp:lastModifiedBy>
  <cp:revision>0</cp:revision>
  <dcterms:created xsi:type="dcterms:W3CDTF">2026-05-18T06:22:29Z</dcterms:created>
  <dcterms:modified xsi:type="dcterms:W3CDTF">2026-06-08T03:16:58Z</dcterms:modified>
  <dc:language>en-US</dc:language>
</cp:coreProperties>
</file>